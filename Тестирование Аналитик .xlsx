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сыл\Downloads\"/>
    </mc:Choice>
  </mc:AlternateContent>
  <xr:revisionPtr revIDLastSave="0" documentId="13_ncr:1_{28E94280-7916-4C92-872D-E7413C50336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Объединенные данные" sheetId="3" r:id="rId1"/>
    <sheet name="Сводная таблица" sheetId="4" r:id="rId2"/>
    <sheet name="ТОП " sheetId="5" r:id="rId3"/>
    <sheet name="Понедельная динамика" sheetId="6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D5" i="5" l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4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2" i="3"/>
</calcChain>
</file>

<file path=xl/sharedStrings.xml><?xml version="1.0" encoding="utf-8"?>
<sst xmlns="http://schemas.openxmlformats.org/spreadsheetml/2006/main" count="1067" uniqueCount="34">
  <si>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</si>
  <si>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</si>
  <si>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</si>
  <si>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</si>
  <si>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</si>
  <si>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</si>
  <si>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</si>
  <si>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</si>
  <si>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</si>
  <si>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</si>
  <si>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</si>
  <si>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</si>
  <si>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</si>
  <si>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</si>
  <si>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</si>
  <si>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</si>
  <si>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</si>
  <si>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</si>
  <si>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</si>
  <si>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</si>
  <si>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</si>
  <si>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</si>
  <si>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</si>
  <si>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</si>
  <si>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</si>
  <si>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</si>
  <si>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</si>
  <si>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</si>
  <si>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</si>
  <si>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Названия столбцов</t>
  </si>
  <si>
    <t>Сумма по полю Товарооборот, руб</t>
  </si>
  <si>
    <t>Доля</t>
  </si>
  <si>
    <t>Количество по полю Товарооборот на склад</t>
  </si>
  <si>
    <t>Сумма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</si>
</sst>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_-* #,##0.00\ [$₽-419]_-;\-* #,##0.00\ [$₽-419]_-;_-* &quot;-&quot;??\ [$₽-419]_-;_-@_-"/>
  </numFmts>
  <fonts count="2" x14ac:knownFonts="1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168" fontId="0" fillId="0" borderId="0" xfId="0" applyNumberFormat="1" applyFont="1" applyAlignment="1"/>
  </cellXfs>
  <cellStyles count="1">
    <cellStyle name="Обычный" xfId="0" builtinId="0"/>
  </cellStyles>
  <dxfs count="11">
    <dxf>
      <numFmt numFmtId="168" formatCode="_-* #,##0.00\ [$₽-419]_-;\-* #,##0.00\ [$₽-419]_-;_-* &quot;-&quot;??\ [$₽-419]_-;_-@_-"/>
    </dxf>
    <dxf>
      <numFmt numFmtId="168" formatCode="_-* #,##0.00\ [$₽-419]_-;\-* #,##0.00\ [$₽-419]_-;_-* &quot;-&quot;??\ [$₽-419]_-;_-@_-"/>
    </dxf>
    <dxf>
      <numFmt numFmtId="168" formatCode="_-* #,##0.00\ [$₽-419]_-;\-* #,##0.00\ [$₽-419]_-;_-* &quot;-&quot;??\ [$₽-419]_-;_-@_-"/>
    </dxf>
    <dxf>
      <numFmt numFmtId="168" formatCode="_-* #,##0.00\ [$₽-419]_-;\-* #,##0.00\ [$₽-419]_-;_-* &quot;-&quot;??\ [$₽-419]_-;_-@_-"/>
    </dxf>
    <dxf>
      <numFmt numFmtId="168" formatCode="_-* #,##0.00\ [$₽-419]_-;\-* #,##0.00\ [$₽-419]_-;_-* &quot;-&quot;??\ [$₽-419]_-;_-@_-"/>
    </dxf>
    <dxf>
      <numFmt numFmtId="168" formatCode="_-* #,##0.00\ [$₽-419]_-;\-* #,##0.00\ [$₽-419]_-;_-* &quot;-&quot;??\ [$₽-419]_-;_-@_-"/>
    </dxf>
    <dxf>
      <numFmt numFmtId="168" formatCode="_-* #,##0.00\ [$₽-419]_-;\-* #,##0.00\ [$₽-419]_-;_-* &quot;-&quot;??\ [$₽-419]_-;_-@_-"/>
    </dxf>
    <dxf>
      <numFmt numFmtId="168" formatCode="_-* #,##0.00\ [$₽-419]_-;\-* #,##0.00\ [$₽-419]_-;_-* &quot;-&quot;??\ [$₽-419]_-;_-@_-"/>
    </dxf>
    <dxf>
      <numFmt numFmtId="34" formatCode="_-* #,##0.00\ &quot;₸&quot;_-;\-* #,##0.00\ &quot;₸&quot;_-;_-* &quot;-&quot;??\ &quot;₸&quot;_-;_-@_-"/>
    </dxf>
    <dxf>
      <numFmt numFmtId="167" formatCode="#,##0.00\ &quot;₸&quot;"/>
    </dxf>
    <dxf>
      <numFmt numFmtId="167" formatCode="#,##0.00\ &quot;₸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.xlsx]Понедельная динамика!Сводная таблица3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'Понедельная динамика'!$B$3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'Понедельная динамика'!$A$4:$A$10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'Понедельная динамика'!$B$4:$B$10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5-4455-B81E-0D0E757F38EB}"/>
            </c:ext>
          </c:extLst>
        </c:ser>
        <c:ser>
          <c:idx val="1"/>
          <c:order val="1"/>
          <c:tx>
            <c:strRef>
              <c:f>'Понедельная динамика'!$C$3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'Понедельная динамика'!$A$4:$A$10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'Понедельная динамика'!$C$4:$C$10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5-4455-B81E-0D0E757F3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992991"/>
        <c:axId val="527744159"/>
      </c:lineChart>
      <c:catAx>
        <c:axId val="101999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27744159"/>
        <c:crosses val="autoZero"/>
        <c:auto val="1"/>
        <c:lblAlgn val="ctr"/>
        <c:lblOffset val="100"/>
        <c:noMultiLvlLbl val="0"/>
      </c:catAx>
      <c:valAx>
        <c:axId val="52774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1999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176212</xdr:rowOff>
    </xdr:from>
    <xdr:to>
      <xdr:col>11</xdr:col>
      <xdr:colOff>600075</xdr:colOff>
      <xdr:row>22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2E0870B-45DC-4743-970C-6AE6B3178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сыл" refreshedDate="46092.838626504628" createdVersion="7" refreshedVersion="7" minRefreshableVersion="3" recordCount="1008" xr:uid="{A45991BC-25B8-4591-BFDE-C03FEC2C8D75}">
  <cacheSource type="worksheet">
    <worksheetSource ref="A1:I1009" sheet="Объединенные данные"/>
  </cacheSource>
  <cacheFields count="9">
    <cacheField name="Дата" numFmtId="165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/>
    </cacheField>
    <cacheField name="Количество складов" numFmtId="0">
      <sharedItems containsString="0" containsBlank="1" containsNumber="1" containsInteger="1" minValue="6" maxValue="129"/>
    </cacheField>
    <cacheField name="Количество заказов" numFmtId="0">
      <sharedItems containsString="0" containsBlank="1" containsNumber="1" containsInteger="1" minValue="237" maxValue="25828"/>
    </cacheField>
    <cacheField name="Количество клиентов" numFmtId="0">
      <sharedItems containsString="0" containsBlank="1" containsNumber="1" containsInteger="1" minValue="175" maxValue="23974"/>
    </cacheField>
    <cacheField name="Товарооборот на склад" numFmtId="0">
      <sharedItems containsNonDate="0" containsString="0" containsBlank="1" count="1">
        <m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0-05-31T00:00:00"/>
    <x v="0"/>
    <n v="7944"/>
    <n v="623971.5"/>
    <m/>
    <m/>
    <m/>
    <x v="0"/>
    <x v="0"/>
  </r>
  <r>
    <d v="2020-05-30T00:00:00"/>
    <x v="0"/>
    <n v="10029"/>
    <n v="787101"/>
    <m/>
    <m/>
    <m/>
    <x v="0"/>
    <x v="0"/>
  </r>
  <r>
    <d v="2020-05-28T00:00:00"/>
    <x v="0"/>
    <n v="8536.5"/>
    <n v="643944"/>
    <m/>
    <m/>
    <m/>
    <x v="0"/>
    <x v="0"/>
  </r>
  <r>
    <d v="2020-05-16T00:00:00"/>
    <x v="1"/>
    <n v="38947.5"/>
    <n v="3395892"/>
    <m/>
    <m/>
    <m/>
    <x v="0"/>
    <x v="1"/>
  </r>
  <r>
    <d v="2020-05-19T00:00:00"/>
    <x v="1"/>
    <n v="31842"/>
    <n v="2771116.5"/>
    <m/>
    <m/>
    <m/>
    <x v="0"/>
    <x v="2"/>
  </r>
  <r>
    <d v="2020-05-17T00:00:00"/>
    <x v="1"/>
    <n v="32023.5"/>
    <n v="2882458.5"/>
    <m/>
    <m/>
    <m/>
    <x v="0"/>
    <x v="1"/>
  </r>
  <r>
    <d v="2020-05-09T00:00:00"/>
    <x v="1"/>
    <n v="31147.5"/>
    <n v="2831019"/>
    <m/>
    <m/>
    <m/>
    <x v="0"/>
    <x v="3"/>
  </r>
  <r>
    <d v="2020-05-04T00:00:00"/>
    <x v="1"/>
    <n v="25566"/>
    <n v="2372310"/>
    <m/>
    <m/>
    <m/>
    <x v="0"/>
    <x v="3"/>
  </r>
  <r>
    <d v="2020-04-29T00:00:00"/>
    <x v="1"/>
    <n v="29319"/>
    <n v="2623480.5"/>
    <m/>
    <m/>
    <m/>
    <x v="0"/>
    <x v="4"/>
  </r>
  <r>
    <d v="2020-05-02T00:00:00"/>
    <x v="1"/>
    <n v="29031"/>
    <n v="2711247"/>
    <m/>
    <m/>
    <m/>
    <x v="0"/>
    <x v="4"/>
  </r>
  <r>
    <d v="2020-05-26T00:00:00"/>
    <x v="1"/>
    <n v="33423"/>
    <n v="2970330"/>
    <m/>
    <m/>
    <m/>
    <x v="0"/>
    <x v="0"/>
  </r>
  <r>
    <d v="2020-05-01T00:00:00"/>
    <x v="1"/>
    <n v="32487"/>
    <n v="3031254"/>
    <m/>
    <m/>
    <m/>
    <x v="0"/>
    <x v="4"/>
  </r>
  <r>
    <d v="2020-05-12T00:00:00"/>
    <x v="1"/>
    <n v="28219.5"/>
    <n v="2595778.5"/>
    <m/>
    <m/>
    <m/>
    <x v="0"/>
    <x v="1"/>
  </r>
  <r>
    <d v="2020-05-21T00:00:00"/>
    <x v="1"/>
    <n v="31272"/>
    <n v="2744382"/>
    <m/>
    <m/>
    <m/>
    <x v="0"/>
    <x v="2"/>
  </r>
  <r>
    <d v="2020-05-20T00:00:00"/>
    <x v="1"/>
    <n v="34077"/>
    <n v="2929330.5"/>
    <m/>
    <m/>
    <m/>
    <x v="0"/>
    <x v="2"/>
  </r>
  <r>
    <d v="2020-05-05T00:00:00"/>
    <x v="1"/>
    <n v="31566"/>
    <n v="2906763"/>
    <m/>
    <m/>
    <m/>
    <x v="0"/>
    <x v="3"/>
  </r>
  <r>
    <d v="2020-04-28T00:00:00"/>
    <x v="1"/>
    <n v="26940"/>
    <n v="2411587.5"/>
    <m/>
    <m/>
    <m/>
    <x v="0"/>
    <x v="4"/>
  </r>
  <r>
    <d v="2020-05-13T00:00:00"/>
    <x v="1"/>
    <n v="29241"/>
    <n v="2629782"/>
    <m/>
    <m/>
    <m/>
    <x v="0"/>
    <x v="1"/>
  </r>
  <r>
    <d v="2020-05-03T00:00:00"/>
    <x v="1"/>
    <n v="26082"/>
    <n v="2434914"/>
    <m/>
    <m/>
    <m/>
    <x v="0"/>
    <x v="4"/>
  </r>
  <r>
    <d v="2020-05-06T00:00:00"/>
    <x v="1"/>
    <n v="32511"/>
    <n v="2938623"/>
    <m/>
    <m/>
    <m/>
    <x v="0"/>
    <x v="3"/>
  </r>
  <r>
    <d v="2020-05-23T00:00:00"/>
    <x v="1"/>
    <n v="42703.5"/>
    <n v="3628726.5"/>
    <m/>
    <m/>
    <m/>
    <x v="0"/>
    <x v="2"/>
  </r>
  <r>
    <d v="2020-05-25T00:00:00"/>
    <x v="1"/>
    <n v="35592"/>
    <n v="3176580"/>
    <m/>
    <m/>
    <m/>
    <x v="0"/>
    <x v="0"/>
  </r>
  <r>
    <d v="2020-04-30T00:00:00"/>
    <x v="1"/>
    <n v="30445.5"/>
    <n v="2817196.5"/>
    <m/>
    <m/>
    <m/>
    <x v="0"/>
    <x v="4"/>
  </r>
  <r>
    <d v="2020-05-10T00:00:00"/>
    <x v="1"/>
    <n v="36619.5"/>
    <n v="3312967.5"/>
    <m/>
    <m/>
    <m/>
    <x v="0"/>
    <x v="3"/>
  </r>
  <r>
    <d v="2020-05-08T00:00:00"/>
    <x v="1"/>
    <n v="29409"/>
    <n v="2645160"/>
    <m/>
    <m/>
    <m/>
    <x v="0"/>
    <x v="3"/>
  </r>
  <r>
    <d v="2020-05-07T00:00:00"/>
    <x v="1"/>
    <n v="27018"/>
    <n v="2472213"/>
    <m/>
    <m/>
    <m/>
    <x v="0"/>
    <x v="3"/>
  </r>
  <r>
    <d v="2020-05-24T00:00:00"/>
    <x v="1"/>
    <n v="34303.5"/>
    <n v="2924746.5"/>
    <m/>
    <m/>
    <m/>
    <x v="0"/>
    <x v="2"/>
  </r>
  <r>
    <d v="2020-05-31T00:00:00"/>
    <x v="1"/>
    <n v="36999"/>
    <n v="3473895"/>
    <m/>
    <m/>
    <m/>
    <x v="0"/>
    <x v="0"/>
  </r>
  <r>
    <d v="2020-05-30T00:00:00"/>
    <x v="1"/>
    <n v="44001"/>
    <n v="3921784.5"/>
    <m/>
    <m/>
    <m/>
    <x v="0"/>
    <x v="0"/>
  </r>
  <r>
    <d v="2020-05-28T00:00:00"/>
    <x v="1"/>
    <n v="30982.5"/>
    <n v="2827773"/>
    <m/>
    <m/>
    <m/>
    <x v="0"/>
    <x v="0"/>
  </r>
  <r>
    <d v="2020-05-16T00:00:00"/>
    <x v="2"/>
    <n v="88063.5"/>
    <n v="7583758.5"/>
    <m/>
    <m/>
    <m/>
    <x v="0"/>
    <x v="1"/>
  </r>
  <r>
    <d v="2020-05-19T00:00:00"/>
    <x v="2"/>
    <n v="84024"/>
    <n v="6815511"/>
    <m/>
    <m/>
    <m/>
    <x v="0"/>
    <x v="2"/>
  </r>
  <r>
    <d v="2020-05-17T00:00:00"/>
    <x v="2"/>
    <n v="78057"/>
    <n v="6774946.5"/>
    <m/>
    <m/>
    <m/>
    <x v="0"/>
    <x v="1"/>
  </r>
  <r>
    <d v="2020-05-09T00:00:00"/>
    <x v="2"/>
    <n v="69720"/>
    <n v="6264933"/>
    <m/>
    <m/>
    <m/>
    <x v="0"/>
    <x v="3"/>
  </r>
  <r>
    <d v="2020-05-04T00:00:00"/>
    <x v="2"/>
    <n v="72928.5"/>
    <n v="6642249"/>
    <m/>
    <m/>
    <m/>
    <x v="0"/>
    <x v="3"/>
  </r>
  <r>
    <d v="2020-04-29T00:00:00"/>
    <x v="2"/>
    <n v="79527"/>
    <n v="7180498.5"/>
    <m/>
    <m/>
    <m/>
    <x v="0"/>
    <x v="4"/>
  </r>
  <r>
    <d v="2020-05-02T00:00:00"/>
    <x v="2"/>
    <n v="60463.5"/>
    <n v="5554192.5"/>
    <m/>
    <m/>
    <m/>
    <x v="0"/>
    <x v="4"/>
  </r>
  <r>
    <d v="2020-05-26T00:00:00"/>
    <x v="2"/>
    <n v="79975.5"/>
    <n v="6676459.5"/>
    <m/>
    <m/>
    <m/>
    <x v="0"/>
    <x v="0"/>
  </r>
  <r>
    <d v="2020-05-01T00:00:00"/>
    <x v="2"/>
    <n v="97534.5"/>
    <n v="8893024.5"/>
    <m/>
    <m/>
    <m/>
    <x v="0"/>
    <x v="4"/>
  </r>
  <r>
    <d v="2020-05-12T00:00:00"/>
    <x v="2"/>
    <n v="71520"/>
    <n v="6398361"/>
    <m/>
    <m/>
    <m/>
    <x v="0"/>
    <x v="1"/>
  </r>
  <r>
    <d v="2020-05-21T00:00:00"/>
    <x v="2"/>
    <n v="79485"/>
    <n v="6633847.5"/>
    <m/>
    <m/>
    <m/>
    <x v="0"/>
    <x v="2"/>
  </r>
  <r>
    <d v="2020-05-20T00:00:00"/>
    <x v="2"/>
    <n v="93313.5"/>
    <n v="7247575.5"/>
    <m/>
    <m/>
    <m/>
    <x v="0"/>
    <x v="2"/>
  </r>
  <r>
    <d v="2020-05-05T00:00:00"/>
    <x v="2"/>
    <n v="76585.5"/>
    <n v="6921316.5"/>
    <m/>
    <m/>
    <m/>
    <x v="0"/>
    <x v="3"/>
  </r>
  <r>
    <d v="2020-04-28T00:00:00"/>
    <x v="2"/>
    <n v="81826.5"/>
    <n v="7163644.5"/>
    <m/>
    <m/>
    <m/>
    <x v="0"/>
    <x v="4"/>
  </r>
  <r>
    <d v="2020-05-13T00:00:00"/>
    <x v="2"/>
    <n v="78846"/>
    <n v="6993952.5"/>
    <m/>
    <m/>
    <m/>
    <x v="0"/>
    <x v="1"/>
  </r>
  <r>
    <d v="2020-05-03T00:00:00"/>
    <x v="2"/>
    <n v="77263.5"/>
    <n v="7013670"/>
    <m/>
    <m/>
    <m/>
    <x v="0"/>
    <x v="4"/>
  </r>
  <r>
    <d v="2020-05-06T00:00:00"/>
    <x v="2"/>
    <n v="68994"/>
    <n v="6168657"/>
    <m/>
    <m/>
    <m/>
    <x v="0"/>
    <x v="3"/>
  </r>
  <r>
    <d v="2020-05-23T00:00:00"/>
    <x v="2"/>
    <n v="102889.5"/>
    <n v="8089143"/>
    <m/>
    <m/>
    <m/>
    <x v="0"/>
    <x v="2"/>
  </r>
  <r>
    <d v="2020-05-25T00:00:00"/>
    <x v="2"/>
    <n v="76999.5"/>
    <n v="6645603"/>
    <m/>
    <m/>
    <m/>
    <x v="0"/>
    <x v="0"/>
  </r>
  <r>
    <d v="2020-04-30T00:00:00"/>
    <x v="2"/>
    <n v="77565"/>
    <n v="7023727.5"/>
    <m/>
    <m/>
    <m/>
    <x v="0"/>
    <x v="4"/>
  </r>
  <r>
    <d v="2020-05-10T00:00:00"/>
    <x v="2"/>
    <n v="84132"/>
    <n v="7483194"/>
    <m/>
    <m/>
    <m/>
    <x v="0"/>
    <x v="3"/>
  </r>
  <r>
    <d v="2020-05-08T00:00:00"/>
    <x v="2"/>
    <n v="69544.5"/>
    <n v="6293776.5"/>
    <m/>
    <m/>
    <m/>
    <x v="0"/>
    <x v="3"/>
  </r>
  <r>
    <d v="2020-05-07T00:00:00"/>
    <x v="2"/>
    <n v="73204.5"/>
    <n v="6591883.5"/>
    <m/>
    <m/>
    <m/>
    <x v="0"/>
    <x v="3"/>
  </r>
  <r>
    <d v="2020-05-24T00:00:00"/>
    <x v="2"/>
    <n v="76663.5"/>
    <n v="6451032"/>
    <m/>
    <m/>
    <m/>
    <x v="0"/>
    <x v="2"/>
  </r>
  <r>
    <d v="2020-05-16T00:00:00"/>
    <x v="3"/>
    <n v="14265"/>
    <n v="1130506.5"/>
    <m/>
    <m/>
    <m/>
    <x v="0"/>
    <x v="1"/>
  </r>
  <r>
    <d v="2020-05-19T00:00:00"/>
    <x v="3"/>
    <n v="11526"/>
    <n v="938764.5"/>
    <m/>
    <m/>
    <m/>
    <x v="0"/>
    <x v="2"/>
  </r>
  <r>
    <d v="2020-05-17T00:00:00"/>
    <x v="3"/>
    <n v="10402.5"/>
    <n v="843727.5"/>
    <m/>
    <m/>
    <m/>
    <x v="0"/>
    <x v="1"/>
  </r>
  <r>
    <d v="2020-05-09T00:00:00"/>
    <x v="3"/>
    <n v="13216.5"/>
    <n v="1046400"/>
    <m/>
    <m/>
    <m/>
    <x v="0"/>
    <x v="3"/>
  </r>
  <r>
    <d v="2020-05-04T00:00:00"/>
    <x v="3"/>
    <n v="9130.5"/>
    <n v="728890.5"/>
    <m/>
    <m/>
    <m/>
    <x v="0"/>
    <x v="3"/>
  </r>
  <r>
    <d v="2020-04-29T00:00:00"/>
    <x v="3"/>
    <n v="10840.5"/>
    <n v="797919"/>
    <m/>
    <m/>
    <m/>
    <x v="0"/>
    <x v="4"/>
  </r>
  <r>
    <d v="2020-05-02T00:00:00"/>
    <x v="3"/>
    <n v="7866"/>
    <n v="617881.5"/>
    <m/>
    <m/>
    <m/>
    <x v="0"/>
    <x v="4"/>
  </r>
  <r>
    <d v="2020-05-26T00:00:00"/>
    <x v="3"/>
    <n v="11835"/>
    <n v="983109"/>
    <m/>
    <m/>
    <m/>
    <x v="0"/>
    <x v="0"/>
  </r>
  <r>
    <d v="2020-05-01T00:00:00"/>
    <x v="3"/>
    <n v="11619"/>
    <n v="891139.5"/>
    <m/>
    <m/>
    <m/>
    <x v="0"/>
    <x v="4"/>
  </r>
  <r>
    <d v="2020-05-12T00:00:00"/>
    <x v="3"/>
    <n v="9328.5"/>
    <n v="732964.5"/>
    <m/>
    <m/>
    <m/>
    <x v="0"/>
    <x v="1"/>
  </r>
  <r>
    <d v="2020-05-21T00:00:00"/>
    <x v="3"/>
    <n v="11250"/>
    <n v="935523"/>
    <m/>
    <m/>
    <m/>
    <x v="0"/>
    <x v="2"/>
  </r>
  <r>
    <d v="2020-05-20T00:00:00"/>
    <x v="3"/>
    <n v="13063.5"/>
    <n v="1037247"/>
    <m/>
    <m/>
    <m/>
    <x v="0"/>
    <x v="2"/>
  </r>
  <r>
    <d v="2020-05-05T00:00:00"/>
    <x v="3"/>
    <n v="10147.5"/>
    <n v="793320"/>
    <m/>
    <m/>
    <m/>
    <x v="0"/>
    <x v="3"/>
  </r>
  <r>
    <d v="2020-04-28T00:00:00"/>
    <x v="3"/>
    <n v="12331.5"/>
    <n v="869983.5"/>
    <m/>
    <m/>
    <m/>
    <x v="0"/>
    <x v="4"/>
  </r>
  <r>
    <d v="2020-05-13T00:00:00"/>
    <x v="3"/>
    <n v="11202"/>
    <n v="865714.5"/>
    <m/>
    <m/>
    <m/>
    <x v="0"/>
    <x v="1"/>
  </r>
  <r>
    <d v="2020-05-31T00:00:00"/>
    <x v="2"/>
    <n v="89149.5"/>
    <n v="7512646.5"/>
    <m/>
    <m/>
    <m/>
    <x v="0"/>
    <x v="0"/>
  </r>
  <r>
    <d v="2020-05-03T00:00:00"/>
    <x v="3"/>
    <n v="8185.5"/>
    <n v="637881"/>
    <m/>
    <m/>
    <m/>
    <x v="0"/>
    <x v="4"/>
  </r>
  <r>
    <d v="2020-05-30T00:00:00"/>
    <x v="2"/>
    <n v="108123"/>
    <n v="9164707.5"/>
    <m/>
    <m/>
    <m/>
    <x v="0"/>
    <x v="0"/>
  </r>
  <r>
    <d v="2020-05-06T00:00:00"/>
    <x v="3"/>
    <n v="9210"/>
    <n v="696832.5"/>
    <m/>
    <m/>
    <m/>
    <x v="0"/>
    <x v="3"/>
  </r>
  <r>
    <d v="2020-05-23T00:00:00"/>
    <x v="3"/>
    <n v="14773.5"/>
    <n v="1241383.5"/>
    <m/>
    <m/>
    <m/>
    <x v="0"/>
    <x v="2"/>
  </r>
  <r>
    <d v="2020-05-28T00:00:00"/>
    <x v="2"/>
    <n v="78141"/>
    <n v="6641569.5"/>
    <m/>
    <m/>
    <m/>
    <x v="0"/>
    <x v="0"/>
  </r>
  <r>
    <d v="2020-05-25T00:00:00"/>
    <x v="3"/>
    <n v="12280.5"/>
    <n v="1030440"/>
    <m/>
    <m/>
    <m/>
    <x v="0"/>
    <x v="0"/>
  </r>
  <r>
    <d v="2020-04-30T00:00:00"/>
    <x v="3"/>
    <n v="8934"/>
    <n v="716196"/>
    <m/>
    <m/>
    <m/>
    <x v="0"/>
    <x v="4"/>
  </r>
  <r>
    <d v="2020-05-10T00:00:00"/>
    <x v="3"/>
    <n v="12918"/>
    <n v="1004788.5"/>
    <m/>
    <m/>
    <m/>
    <x v="0"/>
    <x v="3"/>
  </r>
  <r>
    <d v="2020-05-08T00:00:00"/>
    <x v="3"/>
    <n v="12528"/>
    <n v="959703"/>
    <m/>
    <m/>
    <m/>
    <x v="0"/>
    <x v="3"/>
  </r>
  <r>
    <d v="2020-05-07T00:00:00"/>
    <x v="3"/>
    <n v="11029.5"/>
    <n v="863754"/>
    <m/>
    <m/>
    <m/>
    <x v="0"/>
    <x v="3"/>
  </r>
  <r>
    <d v="2020-05-24T00:00:00"/>
    <x v="3"/>
    <n v="9994.5"/>
    <n v="828984"/>
    <m/>
    <m/>
    <m/>
    <x v="0"/>
    <x v="2"/>
  </r>
  <r>
    <d v="2020-05-31T00:00:00"/>
    <x v="3"/>
    <n v="12724.5"/>
    <n v="1045515"/>
    <m/>
    <m/>
    <m/>
    <x v="0"/>
    <x v="0"/>
  </r>
  <r>
    <d v="2020-05-30T00:00:00"/>
    <x v="3"/>
    <n v="14728.5"/>
    <n v="1260483"/>
    <m/>
    <m/>
    <m/>
    <x v="0"/>
    <x v="0"/>
  </r>
  <r>
    <d v="2020-05-28T00:00:00"/>
    <x v="3"/>
    <n v="13038"/>
    <n v="1114552.5"/>
    <m/>
    <m/>
    <m/>
    <x v="0"/>
    <x v="0"/>
  </r>
  <r>
    <d v="2020-05-16T00:00:00"/>
    <x v="4"/>
    <n v="35482.5"/>
    <n v="3222517.5"/>
    <m/>
    <m/>
    <m/>
    <x v="0"/>
    <x v="1"/>
  </r>
  <r>
    <d v="2020-05-19T00:00:00"/>
    <x v="4"/>
    <n v="32434.5"/>
    <n v="2865337.5"/>
    <m/>
    <m/>
    <m/>
    <x v="0"/>
    <x v="2"/>
  </r>
  <r>
    <d v="2020-05-17T00:00:00"/>
    <x v="4"/>
    <n v="30486"/>
    <n v="2694289.5"/>
    <m/>
    <m/>
    <m/>
    <x v="0"/>
    <x v="1"/>
  </r>
  <r>
    <d v="2020-05-09T00:00:00"/>
    <x v="4"/>
    <n v="32079"/>
    <n v="2902167"/>
    <m/>
    <m/>
    <m/>
    <x v="0"/>
    <x v="3"/>
  </r>
  <r>
    <d v="2020-05-04T00:00:00"/>
    <x v="4"/>
    <n v="27072"/>
    <n v="2450968.5"/>
    <m/>
    <m/>
    <m/>
    <x v="0"/>
    <x v="3"/>
  </r>
  <r>
    <d v="2020-04-29T00:00:00"/>
    <x v="4"/>
    <n v="25917"/>
    <n v="2397588"/>
    <m/>
    <m/>
    <m/>
    <x v="0"/>
    <x v="4"/>
  </r>
  <r>
    <d v="2020-05-02T00:00:00"/>
    <x v="4"/>
    <n v="19461"/>
    <n v="1799230.5"/>
    <m/>
    <m/>
    <m/>
    <x v="0"/>
    <x v="4"/>
  </r>
  <r>
    <d v="2020-05-26T00:00:00"/>
    <x v="4"/>
    <n v="31407"/>
    <n v="2907411"/>
    <m/>
    <m/>
    <m/>
    <x v="0"/>
    <x v="0"/>
  </r>
  <r>
    <d v="2020-05-01T00:00:00"/>
    <x v="4"/>
    <n v="25792.5"/>
    <n v="2374356"/>
    <m/>
    <m/>
    <m/>
    <x v="0"/>
    <x v="4"/>
  </r>
  <r>
    <d v="2020-05-12T00:00:00"/>
    <x v="4"/>
    <n v="26032.5"/>
    <n v="2370432"/>
    <m/>
    <m/>
    <m/>
    <x v="0"/>
    <x v="1"/>
  </r>
  <r>
    <d v="2020-05-21T00:00:00"/>
    <x v="4"/>
    <n v="31707"/>
    <n v="2853181.5"/>
    <m/>
    <m/>
    <m/>
    <x v="0"/>
    <x v="2"/>
  </r>
  <r>
    <d v="2020-05-20T00:00:00"/>
    <x v="4"/>
    <n v="29955"/>
    <n v="2692230"/>
    <m/>
    <m/>
    <m/>
    <x v="0"/>
    <x v="2"/>
  </r>
  <r>
    <d v="2020-05-05T00:00:00"/>
    <x v="4"/>
    <n v="22848"/>
    <n v="2079900"/>
    <m/>
    <m/>
    <m/>
    <x v="0"/>
    <x v="3"/>
  </r>
  <r>
    <d v="2020-04-28T00:00:00"/>
    <x v="4"/>
    <n v="23314.5"/>
    <n v="2136817.5"/>
    <m/>
    <m/>
    <m/>
    <x v="0"/>
    <x v="4"/>
  </r>
  <r>
    <d v="2020-05-13T00:00:00"/>
    <x v="4"/>
    <n v="26464.5"/>
    <n v="2373337.5"/>
    <m/>
    <m/>
    <m/>
    <x v="0"/>
    <x v="1"/>
  </r>
  <r>
    <d v="2020-05-03T00:00:00"/>
    <x v="4"/>
    <n v="23539.5"/>
    <n v="2170309.5"/>
    <m/>
    <m/>
    <m/>
    <x v="0"/>
    <x v="4"/>
  </r>
  <r>
    <d v="2020-05-06T00:00:00"/>
    <x v="4"/>
    <n v="24678"/>
    <n v="2232519"/>
    <m/>
    <m/>
    <m/>
    <x v="0"/>
    <x v="3"/>
  </r>
  <r>
    <d v="2020-05-23T00:00:00"/>
    <x v="4"/>
    <n v="38176.5"/>
    <n v="3385372.5"/>
    <m/>
    <m/>
    <m/>
    <x v="0"/>
    <x v="2"/>
  </r>
  <r>
    <d v="2020-05-25T00:00:00"/>
    <x v="4"/>
    <n v="30603"/>
    <n v="2865727.5"/>
    <m/>
    <m/>
    <m/>
    <x v="0"/>
    <x v="0"/>
  </r>
  <r>
    <d v="2020-04-30T00:00:00"/>
    <x v="4"/>
    <n v="24211.5"/>
    <n v="2267664"/>
    <m/>
    <m/>
    <m/>
    <x v="0"/>
    <x v="4"/>
  </r>
  <r>
    <d v="2020-05-10T00:00:00"/>
    <x v="4"/>
    <n v="31399.5"/>
    <n v="2862298.5"/>
    <m/>
    <m/>
    <m/>
    <x v="0"/>
    <x v="3"/>
  </r>
  <r>
    <d v="2020-05-08T00:00:00"/>
    <x v="4"/>
    <n v="25294.5"/>
    <n v="2271454.5"/>
    <m/>
    <m/>
    <m/>
    <x v="0"/>
    <x v="3"/>
  </r>
  <r>
    <d v="2020-05-07T00:00:00"/>
    <x v="4"/>
    <n v="25468.5"/>
    <n v="2350672.5"/>
    <m/>
    <m/>
    <m/>
    <x v="0"/>
    <x v="3"/>
  </r>
  <r>
    <d v="2020-05-24T00:00:00"/>
    <x v="4"/>
    <n v="31854"/>
    <n v="2915533.5"/>
    <m/>
    <m/>
    <m/>
    <x v="0"/>
    <x v="2"/>
  </r>
  <r>
    <d v="2020-05-31T00:00:00"/>
    <x v="4"/>
    <n v="32359.5"/>
    <n v="2991999"/>
    <m/>
    <m/>
    <m/>
    <x v="0"/>
    <x v="0"/>
  </r>
  <r>
    <d v="2020-05-30T00:00:00"/>
    <x v="4"/>
    <n v="39867"/>
    <n v="3654166.5"/>
    <m/>
    <m/>
    <m/>
    <x v="0"/>
    <x v="0"/>
  </r>
  <r>
    <d v="2020-05-28T00:00:00"/>
    <x v="4"/>
    <n v="31974"/>
    <n v="3004213.5"/>
    <m/>
    <m/>
    <m/>
    <x v="0"/>
    <x v="0"/>
  </r>
  <r>
    <d v="2020-05-16T00:00:00"/>
    <x v="5"/>
    <n v="321412.5"/>
    <n v="32235864"/>
    <m/>
    <m/>
    <m/>
    <x v="0"/>
    <x v="1"/>
  </r>
  <r>
    <d v="2020-05-19T00:00:00"/>
    <x v="5"/>
    <n v="276568.5"/>
    <n v="27093624"/>
    <m/>
    <m/>
    <m/>
    <x v="0"/>
    <x v="2"/>
  </r>
  <r>
    <d v="2020-05-17T00:00:00"/>
    <x v="5"/>
    <n v="269029.5"/>
    <n v="26659930.5"/>
    <m/>
    <m/>
    <m/>
    <x v="0"/>
    <x v="1"/>
  </r>
  <r>
    <d v="2020-05-09T00:00:00"/>
    <x v="5"/>
    <n v="285972"/>
    <n v="29768199"/>
    <m/>
    <m/>
    <m/>
    <x v="0"/>
    <x v="3"/>
  </r>
  <r>
    <d v="2020-05-04T00:00:00"/>
    <x v="5"/>
    <n v="283942.5"/>
    <n v="29357940"/>
    <m/>
    <m/>
    <m/>
    <x v="0"/>
    <x v="3"/>
  </r>
  <r>
    <d v="2020-04-29T00:00:00"/>
    <x v="5"/>
    <n v="298059"/>
    <n v="30869287.5"/>
    <m/>
    <m/>
    <m/>
    <x v="0"/>
    <x v="4"/>
  </r>
  <r>
    <d v="2020-05-02T00:00:00"/>
    <x v="5"/>
    <n v="232903.5"/>
    <n v="24342016.5"/>
    <m/>
    <m/>
    <m/>
    <x v="0"/>
    <x v="4"/>
  </r>
  <r>
    <d v="2020-05-26T00:00:00"/>
    <x v="5"/>
    <n v="276966"/>
    <n v="27872617.898850001"/>
    <m/>
    <m/>
    <m/>
    <x v="0"/>
    <x v="0"/>
  </r>
  <r>
    <d v="2020-05-01T00:00:00"/>
    <x v="5"/>
    <n v="296149.5"/>
    <n v="31053316.5"/>
    <m/>
    <m/>
    <m/>
    <x v="0"/>
    <x v="4"/>
  </r>
  <r>
    <d v="2020-05-12T00:00:00"/>
    <x v="5"/>
    <n v="281796"/>
    <n v="29042520"/>
    <m/>
    <m/>
    <m/>
    <x v="0"/>
    <x v="1"/>
  </r>
  <r>
    <d v="2020-05-21T00:00:00"/>
    <x v="5"/>
    <n v="288936"/>
    <n v="27852900"/>
    <m/>
    <m/>
    <m/>
    <x v="0"/>
    <x v="2"/>
  </r>
  <r>
    <d v="2020-05-20T00:00:00"/>
    <x v="5"/>
    <n v="300151.5"/>
    <n v="29368771.617449999"/>
    <m/>
    <m/>
    <m/>
    <x v="0"/>
    <x v="2"/>
  </r>
  <r>
    <d v="2020-05-05T00:00:00"/>
    <x v="5"/>
    <n v="262734"/>
    <n v="27278441.145"/>
    <m/>
    <m/>
    <m/>
    <x v="0"/>
    <x v="3"/>
  </r>
  <r>
    <d v="2020-04-28T00:00:00"/>
    <x v="5"/>
    <n v="286002"/>
    <n v="29159032.5"/>
    <m/>
    <m/>
    <m/>
    <x v="0"/>
    <x v="4"/>
  </r>
  <r>
    <d v="2020-05-13T00:00:00"/>
    <x v="5"/>
    <n v="258459"/>
    <n v="26467453.5"/>
    <m/>
    <m/>
    <m/>
    <x v="0"/>
    <x v="1"/>
  </r>
  <r>
    <d v="2020-05-03T00:00:00"/>
    <x v="5"/>
    <n v="274083"/>
    <n v="28427001"/>
    <m/>
    <m/>
    <m/>
    <x v="0"/>
    <x v="4"/>
  </r>
  <r>
    <d v="2020-05-06T00:00:00"/>
    <x v="5"/>
    <n v="277512"/>
    <n v="28770810.105599999"/>
    <m/>
    <m/>
    <m/>
    <x v="0"/>
    <x v="3"/>
  </r>
  <r>
    <d v="2020-05-23T00:00:00"/>
    <x v="5"/>
    <n v="356982"/>
    <n v="35103926.711549997"/>
    <m/>
    <m/>
    <m/>
    <x v="0"/>
    <x v="2"/>
  </r>
  <r>
    <d v="2020-05-25T00:00:00"/>
    <x v="5"/>
    <n v="266983.5"/>
    <n v="27165913.5"/>
    <m/>
    <m/>
    <m/>
    <x v="0"/>
    <x v="0"/>
  </r>
  <r>
    <d v="2020-04-30T00:00:00"/>
    <x v="5"/>
    <n v="311131.5"/>
    <n v="32418879"/>
    <m/>
    <m/>
    <m/>
    <x v="0"/>
    <x v="4"/>
  </r>
  <r>
    <d v="2020-05-10T00:00:00"/>
    <x v="5"/>
    <n v="287206.5"/>
    <n v="29536176.10605"/>
    <m/>
    <m/>
    <m/>
    <x v="0"/>
    <x v="3"/>
  </r>
  <r>
    <d v="2020-05-08T00:00:00"/>
    <x v="5"/>
    <n v="370092"/>
    <n v="38091556.5"/>
    <m/>
    <m/>
    <m/>
    <x v="0"/>
    <x v="3"/>
  </r>
  <r>
    <d v="2020-05-07T00:00:00"/>
    <x v="5"/>
    <n v="247813.5"/>
    <n v="25325271"/>
    <m/>
    <m/>
    <m/>
    <x v="0"/>
    <x v="3"/>
  </r>
  <r>
    <d v="2020-05-24T00:00:00"/>
    <x v="5"/>
    <n v="287740.5"/>
    <n v="28188534"/>
    <m/>
    <m/>
    <m/>
    <x v="0"/>
    <x v="2"/>
  </r>
  <r>
    <d v="2020-05-16T00:00:00"/>
    <x v="6"/>
    <n v="408810"/>
    <n v="42323631"/>
    <m/>
    <m/>
    <m/>
    <x v="0"/>
    <x v="1"/>
  </r>
  <r>
    <d v="2020-05-19T00:00:00"/>
    <x v="6"/>
    <n v="362536.5"/>
    <n v="37023243"/>
    <m/>
    <m/>
    <m/>
    <x v="0"/>
    <x v="2"/>
  </r>
  <r>
    <d v="2020-05-17T00:00:00"/>
    <x v="6"/>
    <n v="357072"/>
    <n v="36834567"/>
    <m/>
    <m/>
    <m/>
    <x v="0"/>
    <x v="1"/>
  </r>
  <r>
    <d v="2020-05-09T00:00:00"/>
    <x v="6"/>
    <n v="359214"/>
    <n v="38693427"/>
    <m/>
    <m/>
    <m/>
    <x v="0"/>
    <x v="3"/>
  </r>
  <r>
    <d v="2020-05-04T00:00:00"/>
    <x v="6"/>
    <n v="360255"/>
    <n v="38406954"/>
    <m/>
    <m/>
    <m/>
    <x v="0"/>
    <x v="3"/>
  </r>
  <r>
    <d v="2020-04-29T00:00:00"/>
    <x v="6"/>
    <n v="387220.5"/>
    <n v="41559384"/>
    <m/>
    <m/>
    <m/>
    <x v="0"/>
    <x v="4"/>
  </r>
  <r>
    <d v="2020-05-02T00:00:00"/>
    <x v="6"/>
    <n v="296580"/>
    <n v="31843737"/>
    <m/>
    <m/>
    <m/>
    <x v="0"/>
    <x v="4"/>
  </r>
  <r>
    <d v="2020-05-26T00:00:00"/>
    <x v="6"/>
    <n v="369861"/>
    <n v="38365960.5"/>
    <m/>
    <m/>
    <m/>
    <x v="0"/>
    <x v="0"/>
  </r>
  <r>
    <d v="2020-05-01T00:00:00"/>
    <x v="6"/>
    <n v="372504"/>
    <n v="40077193.5"/>
    <m/>
    <m/>
    <m/>
    <x v="0"/>
    <x v="4"/>
  </r>
  <r>
    <d v="2020-05-12T00:00:00"/>
    <x v="6"/>
    <n v="373392"/>
    <n v="39578577"/>
    <m/>
    <m/>
    <m/>
    <x v="0"/>
    <x v="1"/>
  </r>
  <r>
    <d v="2020-05-21T00:00:00"/>
    <x v="6"/>
    <n v="378043.5"/>
    <n v="37902156.57"/>
    <m/>
    <m/>
    <m/>
    <x v="0"/>
    <x v="2"/>
  </r>
  <r>
    <d v="2020-05-20T00:00:00"/>
    <x v="6"/>
    <n v="388668"/>
    <n v="39639309"/>
    <m/>
    <m/>
    <m/>
    <x v="0"/>
    <x v="2"/>
  </r>
  <r>
    <d v="2020-05-05T00:00:00"/>
    <x v="6"/>
    <n v="333792"/>
    <n v="35671734"/>
    <m/>
    <m/>
    <m/>
    <x v="0"/>
    <x v="3"/>
  </r>
  <r>
    <d v="2020-04-28T00:00:00"/>
    <x v="6"/>
    <n v="376060.5"/>
    <n v="39918028.5"/>
    <m/>
    <m/>
    <m/>
    <x v="0"/>
    <x v="4"/>
  </r>
  <r>
    <d v="2020-05-13T00:00:00"/>
    <x v="6"/>
    <n v="350068.5"/>
    <n v="37197115.5"/>
    <m/>
    <m/>
    <m/>
    <x v="0"/>
    <x v="1"/>
  </r>
  <r>
    <d v="2020-05-31T00:00:00"/>
    <x v="5"/>
    <n v="294337.5"/>
    <n v="29327766"/>
    <m/>
    <m/>
    <m/>
    <x v="0"/>
    <x v="0"/>
  </r>
  <r>
    <d v="2020-05-03T00:00:00"/>
    <x v="6"/>
    <n v="342666"/>
    <n v="36631999.5"/>
    <m/>
    <m/>
    <m/>
    <x v="0"/>
    <x v="4"/>
  </r>
  <r>
    <d v="2020-05-30T00:00:00"/>
    <x v="5"/>
    <n v="364882.5"/>
    <n v="35724493.5"/>
    <m/>
    <m/>
    <m/>
    <x v="0"/>
    <x v="0"/>
  </r>
  <r>
    <d v="2020-05-06T00:00:00"/>
    <x v="6"/>
    <n v="355278"/>
    <n v="38092344"/>
    <m/>
    <m/>
    <m/>
    <x v="0"/>
    <x v="3"/>
  </r>
  <r>
    <d v="2020-05-23T00:00:00"/>
    <x v="6"/>
    <n v="456885"/>
    <n v="46408080"/>
    <m/>
    <m/>
    <m/>
    <x v="0"/>
    <x v="2"/>
  </r>
  <r>
    <d v="2020-05-28T00:00:00"/>
    <x v="5"/>
    <n v="278491.5"/>
    <n v="28151004.75"/>
    <m/>
    <m/>
    <m/>
    <x v="0"/>
    <x v="0"/>
  </r>
  <r>
    <d v="2020-05-25T00:00:00"/>
    <x v="6"/>
    <n v="349734"/>
    <n v="36883428"/>
    <m/>
    <m/>
    <m/>
    <x v="0"/>
    <x v="0"/>
  </r>
  <r>
    <d v="2020-04-30T00:00:00"/>
    <x v="6"/>
    <n v="401580"/>
    <n v="43028734.5"/>
    <m/>
    <m/>
    <m/>
    <x v="0"/>
    <x v="4"/>
  </r>
  <r>
    <d v="2020-05-10T00:00:00"/>
    <x v="6"/>
    <n v="368649"/>
    <n v="39010875"/>
    <m/>
    <m/>
    <m/>
    <x v="0"/>
    <x v="3"/>
  </r>
  <r>
    <d v="2020-05-08T00:00:00"/>
    <x v="6"/>
    <n v="463530"/>
    <n v="49123180.5"/>
    <m/>
    <m/>
    <m/>
    <x v="0"/>
    <x v="3"/>
  </r>
  <r>
    <d v="2020-05-07T00:00:00"/>
    <x v="6"/>
    <n v="319110"/>
    <n v="33763989"/>
    <m/>
    <m/>
    <m/>
    <x v="0"/>
    <x v="3"/>
  </r>
  <r>
    <d v="2020-05-24T00:00:00"/>
    <x v="6"/>
    <n v="375744"/>
    <n v="38191381.5"/>
    <m/>
    <m/>
    <m/>
    <x v="0"/>
    <x v="2"/>
  </r>
  <r>
    <d v="2020-05-16T00:00:00"/>
    <x v="7"/>
    <n v="81331.5"/>
    <n v="6652179"/>
    <m/>
    <m/>
    <m/>
    <x v="0"/>
    <x v="1"/>
  </r>
  <r>
    <d v="2020-05-19T00:00:00"/>
    <x v="7"/>
    <n v="75796.5"/>
    <n v="6173463"/>
    <m/>
    <m/>
    <m/>
    <x v="0"/>
    <x v="2"/>
  </r>
  <r>
    <d v="2020-05-17T00:00:00"/>
    <x v="7"/>
    <n v="72861"/>
    <n v="5952802.5"/>
    <m/>
    <m/>
    <m/>
    <x v="0"/>
    <x v="1"/>
  </r>
  <r>
    <d v="2020-05-09T00:00:00"/>
    <x v="7"/>
    <n v="83373"/>
    <n v="7253427"/>
    <m/>
    <m/>
    <m/>
    <x v="0"/>
    <x v="3"/>
  </r>
  <r>
    <d v="2020-05-04T00:00:00"/>
    <x v="7"/>
    <n v="64108.5"/>
    <n v="5561452.5"/>
    <m/>
    <m/>
    <m/>
    <x v="0"/>
    <x v="3"/>
  </r>
  <r>
    <d v="2020-04-29T00:00:00"/>
    <x v="7"/>
    <n v="74707.5"/>
    <n v="6454458"/>
    <m/>
    <m/>
    <m/>
    <x v="0"/>
    <x v="4"/>
  </r>
  <r>
    <d v="2020-05-02T00:00:00"/>
    <x v="7"/>
    <n v="46216.5"/>
    <n v="4118251.5"/>
    <m/>
    <m/>
    <m/>
    <x v="0"/>
    <x v="4"/>
  </r>
  <r>
    <d v="2020-05-26T00:00:00"/>
    <x v="7"/>
    <n v="67726.5"/>
    <n v="5864989.5"/>
    <m/>
    <m/>
    <m/>
    <x v="0"/>
    <x v="0"/>
  </r>
  <r>
    <d v="2020-05-01T00:00:00"/>
    <x v="7"/>
    <n v="82228.5"/>
    <n v="7032225"/>
    <m/>
    <m/>
    <m/>
    <x v="0"/>
    <x v="4"/>
  </r>
  <r>
    <d v="2020-05-12T00:00:00"/>
    <x v="7"/>
    <n v="64390.5"/>
    <n v="5523145.5"/>
    <m/>
    <m/>
    <m/>
    <x v="0"/>
    <x v="1"/>
  </r>
  <r>
    <d v="2020-05-21T00:00:00"/>
    <x v="7"/>
    <n v="73126.5"/>
    <n v="5864085"/>
    <m/>
    <m/>
    <m/>
    <x v="0"/>
    <x v="2"/>
  </r>
  <r>
    <d v="2020-05-20T00:00:00"/>
    <x v="7"/>
    <n v="99631.5"/>
    <n v="7121946"/>
    <m/>
    <m/>
    <m/>
    <x v="0"/>
    <x v="2"/>
  </r>
  <r>
    <d v="2020-05-05T00:00:00"/>
    <x v="7"/>
    <n v="66396"/>
    <n v="5770539"/>
    <m/>
    <m/>
    <m/>
    <x v="0"/>
    <x v="3"/>
  </r>
  <r>
    <d v="2020-04-28T00:00:00"/>
    <x v="7"/>
    <n v="73147.5"/>
    <n v="6288246"/>
    <m/>
    <m/>
    <m/>
    <x v="0"/>
    <x v="4"/>
  </r>
  <r>
    <d v="2020-05-13T00:00:00"/>
    <x v="7"/>
    <n v="73062"/>
    <n v="6333828"/>
    <m/>
    <m/>
    <m/>
    <x v="0"/>
    <x v="1"/>
  </r>
  <r>
    <d v="2020-05-31T00:00:00"/>
    <x v="6"/>
    <n v="379663.5"/>
    <n v="39380178"/>
    <m/>
    <m/>
    <m/>
    <x v="0"/>
    <x v="0"/>
  </r>
  <r>
    <d v="2020-05-03T00:00:00"/>
    <x v="7"/>
    <n v="70581"/>
    <n v="6221320.5"/>
    <m/>
    <m/>
    <m/>
    <x v="0"/>
    <x v="4"/>
  </r>
  <r>
    <d v="2020-05-30T00:00:00"/>
    <x v="6"/>
    <n v="453123"/>
    <n v="46370904"/>
    <m/>
    <m/>
    <m/>
    <x v="0"/>
    <x v="0"/>
  </r>
  <r>
    <d v="2020-05-06T00:00:00"/>
    <x v="7"/>
    <n v="63012"/>
    <n v="5454121.5"/>
    <m/>
    <m/>
    <m/>
    <x v="0"/>
    <x v="3"/>
  </r>
  <r>
    <d v="2020-05-23T00:00:00"/>
    <x v="7"/>
    <n v="89556"/>
    <n v="7173117"/>
    <m/>
    <m/>
    <m/>
    <x v="0"/>
    <x v="2"/>
  </r>
  <r>
    <d v="2020-05-28T00:00:00"/>
    <x v="6"/>
    <n v="364638"/>
    <n v="37947688.5"/>
    <m/>
    <m/>
    <m/>
    <x v="0"/>
    <x v="0"/>
  </r>
  <r>
    <d v="2020-05-25T00:00:00"/>
    <x v="7"/>
    <n v="66316.5"/>
    <n v="5704650"/>
    <m/>
    <m/>
    <m/>
    <x v="0"/>
    <x v="0"/>
  </r>
  <r>
    <d v="2020-04-30T00:00:00"/>
    <x v="7"/>
    <n v="78235.5"/>
    <n v="6819594"/>
    <m/>
    <m/>
    <m/>
    <x v="0"/>
    <x v="4"/>
  </r>
  <r>
    <d v="2020-05-10T00:00:00"/>
    <x v="7"/>
    <n v="88311"/>
    <n v="7726069.5"/>
    <m/>
    <m/>
    <m/>
    <x v="0"/>
    <x v="3"/>
  </r>
  <r>
    <d v="2020-05-08T00:00:00"/>
    <x v="7"/>
    <n v="61804.5"/>
    <n v="5365708.5"/>
    <m/>
    <m/>
    <m/>
    <x v="0"/>
    <x v="3"/>
  </r>
  <r>
    <d v="2020-05-07T00:00:00"/>
    <x v="7"/>
    <n v="71067"/>
    <n v="6175837.5"/>
    <m/>
    <m/>
    <m/>
    <x v="0"/>
    <x v="3"/>
  </r>
  <r>
    <d v="2020-05-24T00:00:00"/>
    <x v="7"/>
    <n v="74649"/>
    <n v="6098236.5"/>
    <m/>
    <m/>
    <m/>
    <x v="0"/>
    <x v="2"/>
  </r>
  <r>
    <d v="2020-05-16T00:00:00"/>
    <x v="8"/>
    <n v="44560.5"/>
    <n v="4025148"/>
    <m/>
    <m/>
    <m/>
    <x v="0"/>
    <x v="1"/>
  </r>
  <r>
    <d v="2020-05-19T00:00:00"/>
    <x v="8"/>
    <n v="38250"/>
    <n v="3552937.5"/>
    <m/>
    <m/>
    <m/>
    <x v="0"/>
    <x v="2"/>
  </r>
  <r>
    <d v="2020-05-17T00:00:00"/>
    <x v="8"/>
    <n v="34830"/>
    <n v="3191155.5"/>
    <m/>
    <m/>
    <m/>
    <x v="0"/>
    <x v="1"/>
  </r>
  <r>
    <d v="2020-05-09T00:00:00"/>
    <x v="8"/>
    <n v="32239.5"/>
    <n v="3084892.5"/>
    <m/>
    <m/>
    <m/>
    <x v="0"/>
    <x v="3"/>
  </r>
  <r>
    <d v="2020-05-04T00:00:00"/>
    <x v="8"/>
    <n v="30780"/>
    <n v="2817853.5"/>
    <m/>
    <m/>
    <m/>
    <x v="0"/>
    <x v="3"/>
  </r>
  <r>
    <d v="2020-04-29T00:00:00"/>
    <x v="8"/>
    <n v="29142"/>
    <n v="2627595"/>
    <m/>
    <m/>
    <m/>
    <x v="0"/>
    <x v="4"/>
  </r>
  <r>
    <d v="2020-05-02T00:00:00"/>
    <x v="8"/>
    <n v="26428.5"/>
    <n v="2470465.5"/>
    <m/>
    <m/>
    <m/>
    <x v="0"/>
    <x v="4"/>
  </r>
  <r>
    <d v="2020-05-26T00:00:00"/>
    <x v="8"/>
    <n v="40744.5"/>
    <n v="3700311"/>
    <m/>
    <m/>
    <m/>
    <x v="0"/>
    <x v="0"/>
  </r>
  <r>
    <d v="2020-05-01T00:00:00"/>
    <x v="8"/>
    <n v="46620"/>
    <n v="4293241.5"/>
    <m/>
    <m/>
    <m/>
    <x v="0"/>
    <x v="4"/>
  </r>
  <r>
    <d v="2020-05-12T00:00:00"/>
    <x v="8"/>
    <n v="32419.5"/>
    <n v="3080614.5"/>
    <m/>
    <m/>
    <m/>
    <x v="0"/>
    <x v="1"/>
  </r>
  <r>
    <d v="2020-05-21T00:00:00"/>
    <x v="8"/>
    <n v="40819.5"/>
    <n v="3810394.5"/>
    <m/>
    <m/>
    <m/>
    <x v="0"/>
    <x v="2"/>
  </r>
  <r>
    <d v="2020-05-20T00:00:00"/>
    <x v="8"/>
    <n v="41391"/>
    <n v="3918987"/>
    <m/>
    <m/>
    <m/>
    <x v="0"/>
    <x v="2"/>
  </r>
  <r>
    <d v="2020-05-05T00:00:00"/>
    <x v="8"/>
    <n v="29482.5"/>
    <n v="2648688"/>
    <m/>
    <m/>
    <m/>
    <x v="0"/>
    <x v="3"/>
  </r>
  <r>
    <d v="2020-04-28T00:00:00"/>
    <x v="8"/>
    <n v="32181"/>
    <n v="2863600.5"/>
    <m/>
    <m/>
    <m/>
    <x v="0"/>
    <x v="4"/>
  </r>
  <r>
    <d v="2020-05-13T00:00:00"/>
    <x v="8"/>
    <n v="35535"/>
    <n v="3288069"/>
    <m/>
    <m/>
    <m/>
    <x v="0"/>
    <x v="1"/>
  </r>
  <r>
    <d v="2020-05-31T00:00:00"/>
    <x v="7"/>
    <n v="76234.5"/>
    <n v="6500848.5"/>
    <m/>
    <m/>
    <m/>
    <x v="0"/>
    <x v="0"/>
  </r>
  <r>
    <d v="2020-05-03T00:00:00"/>
    <x v="8"/>
    <n v="29935.5"/>
    <n v="2720002.5"/>
    <m/>
    <m/>
    <m/>
    <x v="0"/>
    <x v="4"/>
  </r>
  <r>
    <d v="2020-05-30T00:00:00"/>
    <x v="7"/>
    <n v="106926"/>
    <n v="9098386.5"/>
    <m/>
    <m/>
    <m/>
    <x v="0"/>
    <x v="0"/>
  </r>
  <r>
    <d v="2020-05-06T00:00:00"/>
    <x v="8"/>
    <n v="30342"/>
    <n v="2738127"/>
    <m/>
    <m/>
    <m/>
    <x v="0"/>
    <x v="3"/>
  </r>
  <r>
    <d v="2020-05-23T00:00:00"/>
    <x v="8"/>
    <n v="42999"/>
    <n v="3883215"/>
    <m/>
    <m/>
    <m/>
    <x v="0"/>
    <x v="2"/>
  </r>
  <r>
    <d v="2020-05-28T00:00:00"/>
    <x v="7"/>
    <n v="69945"/>
    <n v="6101931"/>
    <m/>
    <m/>
    <m/>
    <x v="0"/>
    <x v="0"/>
  </r>
  <r>
    <d v="2020-05-25T00:00:00"/>
    <x v="8"/>
    <n v="38740.5"/>
    <n v="3561655.5"/>
    <m/>
    <m/>
    <m/>
    <x v="0"/>
    <x v="0"/>
  </r>
  <r>
    <d v="2020-04-30T00:00:00"/>
    <x v="8"/>
    <n v="31231.5"/>
    <n v="2853310.5"/>
    <m/>
    <m/>
    <m/>
    <x v="0"/>
    <x v="4"/>
  </r>
  <r>
    <d v="2020-05-10T00:00:00"/>
    <x v="8"/>
    <n v="37489.5"/>
    <n v="3549097.5"/>
    <m/>
    <m/>
    <m/>
    <x v="0"/>
    <x v="3"/>
  </r>
  <r>
    <d v="2020-05-08T00:00:00"/>
    <x v="8"/>
    <n v="34399.5"/>
    <n v="3201358.5"/>
    <m/>
    <m/>
    <m/>
    <x v="0"/>
    <x v="3"/>
  </r>
  <r>
    <d v="2020-05-07T00:00:00"/>
    <x v="8"/>
    <n v="32851.5"/>
    <n v="2934504"/>
    <m/>
    <m/>
    <m/>
    <x v="0"/>
    <x v="3"/>
  </r>
  <r>
    <d v="2020-05-24T00:00:00"/>
    <x v="8"/>
    <n v="38194.5"/>
    <n v="3449302.5"/>
    <m/>
    <m/>
    <m/>
    <x v="0"/>
    <x v="2"/>
  </r>
  <r>
    <d v="2020-05-31T00:00:00"/>
    <x v="8"/>
    <n v="42423"/>
    <n v="3994153.5"/>
    <m/>
    <m/>
    <m/>
    <x v="0"/>
    <x v="0"/>
  </r>
  <r>
    <d v="2020-05-30T00:00:00"/>
    <x v="8"/>
    <n v="48286.5"/>
    <n v="4456441.5"/>
    <m/>
    <m/>
    <m/>
    <x v="0"/>
    <x v="0"/>
  </r>
  <r>
    <d v="2020-05-28T00:00:00"/>
    <x v="8"/>
    <n v="41442"/>
    <n v="3893680.5"/>
    <m/>
    <m/>
    <m/>
    <x v="0"/>
    <x v="0"/>
  </r>
  <r>
    <d v="2020-05-16T00:00:00"/>
    <x v="9"/>
    <n v="18600"/>
    <n v="1601425.5"/>
    <m/>
    <m/>
    <m/>
    <x v="0"/>
    <x v="1"/>
  </r>
  <r>
    <d v="2020-05-19T00:00:00"/>
    <x v="9"/>
    <n v="16638"/>
    <n v="1364847"/>
    <m/>
    <m/>
    <m/>
    <x v="0"/>
    <x v="2"/>
  </r>
  <r>
    <d v="2020-05-17T00:00:00"/>
    <x v="9"/>
    <n v="15609"/>
    <n v="1377577.5"/>
    <m/>
    <m/>
    <m/>
    <x v="0"/>
    <x v="1"/>
  </r>
  <r>
    <d v="2020-05-09T00:00:00"/>
    <x v="9"/>
    <n v="13948.5"/>
    <n v="1222932"/>
    <m/>
    <m/>
    <m/>
    <x v="0"/>
    <x v="3"/>
  </r>
  <r>
    <d v="2020-05-04T00:00:00"/>
    <x v="9"/>
    <n v="12301.5"/>
    <n v="1085211"/>
    <m/>
    <m/>
    <m/>
    <x v="0"/>
    <x v="3"/>
  </r>
  <r>
    <d v="2020-04-29T00:00:00"/>
    <x v="9"/>
    <n v="13014"/>
    <n v="1115992.5"/>
    <m/>
    <m/>
    <m/>
    <x v="0"/>
    <x v="4"/>
  </r>
  <r>
    <d v="2020-05-02T00:00:00"/>
    <x v="9"/>
    <n v="12313.5"/>
    <n v="1053220.5"/>
    <m/>
    <m/>
    <m/>
    <x v="0"/>
    <x v="4"/>
  </r>
  <r>
    <d v="2020-05-26T00:00:00"/>
    <x v="9"/>
    <n v="17391"/>
    <n v="1489132.5"/>
    <m/>
    <m/>
    <m/>
    <x v="0"/>
    <x v="0"/>
  </r>
  <r>
    <d v="2020-05-01T00:00:00"/>
    <x v="9"/>
    <n v="17113.5"/>
    <n v="1465842"/>
    <m/>
    <m/>
    <m/>
    <x v="0"/>
    <x v="4"/>
  </r>
  <r>
    <d v="2020-05-12T00:00:00"/>
    <x v="9"/>
    <n v="12802.5"/>
    <n v="1123830"/>
    <m/>
    <m/>
    <m/>
    <x v="0"/>
    <x v="1"/>
  </r>
  <r>
    <d v="2020-05-21T00:00:00"/>
    <x v="9"/>
    <n v="16554"/>
    <n v="1380751.5"/>
    <m/>
    <m/>
    <m/>
    <x v="0"/>
    <x v="2"/>
  </r>
  <r>
    <d v="2020-05-20T00:00:00"/>
    <x v="9"/>
    <n v="17329.5"/>
    <n v="1430254.5"/>
    <m/>
    <m/>
    <m/>
    <x v="0"/>
    <x v="2"/>
  </r>
  <r>
    <d v="2020-05-05T00:00:00"/>
    <x v="9"/>
    <n v="15987"/>
    <n v="1384179"/>
    <m/>
    <m/>
    <m/>
    <x v="0"/>
    <x v="3"/>
  </r>
  <r>
    <d v="2020-04-28T00:00:00"/>
    <x v="9"/>
    <n v="13303.5"/>
    <n v="1102887"/>
    <m/>
    <m/>
    <m/>
    <x v="0"/>
    <x v="4"/>
  </r>
  <r>
    <d v="2020-05-13T00:00:00"/>
    <x v="9"/>
    <n v="14305.5"/>
    <n v="1243507.5"/>
    <m/>
    <m/>
    <m/>
    <x v="0"/>
    <x v="1"/>
  </r>
  <r>
    <d v="2020-05-03T00:00:00"/>
    <x v="9"/>
    <n v="12924"/>
    <n v="1120009.5"/>
    <m/>
    <m/>
    <m/>
    <x v="0"/>
    <x v="4"/>
  </r>
  <r>
    <d v="2020-05-06T00:00:00"/>
    <x v="9"/>
    <n v="14061"/>
    <n v="1221057"/>
    <m/>
    <m/>
    <m/>
    <x v="0"/>
    <x v="3"/>
  </r>
  <r>
    <d v="2020-05-23T00:00:00"/>
    <x v="9"/>
    <n v="21958.5"/>
    <n v="1854001.5"/>
    <m/>
    <m/>
    <m/>
    <x v="0"/>
    <x v="2"/>
  </r>
  <r>
    <d v="2020-05-25T00:00:00"/>
    <x v="9"/>
    <n v="17211"/>
    <n v="1507867.5"/>
    <m/>
    <m/>
    <m/>
    <x v="0"/>
    <x v="0"/>
  </r>
  <r>
    <d v="2020-04-30T00:00:00"/>
    <x v="9"/>
    <n v="12753"/>
    <n v="1103068.5"/>
    <m/>
    <m/>
    <m/>
    <x v="0"/>
    <x v="4"/>
  </r>
  <r>
    <d v="2020-05-10T00:00:00"/>
    <x v="9"/>
    <n v="16435.5"/>
    <n v="1471537.5"/>
    <m/>
    <m/>
    <m/>
    <x v="0"/>
    <x v="3"/>
  </r>
  <r>
    <d v="2020-05-08T00:00:00"/>
    <x v="9"/>
    <n v="14494.5"/>
    <n v="1269786"/>
    <m/>
    <m/>
    <m/>
    <x v="0"/>
    <x v="3"/>
  </r>
  <r>
    <d v="2020-05-07T00:00:00"/>
    <x v="9"/>
    <n v="12705"/>
    <n v="1123894.5"/>
    <m/>
    <m/>
    <m/>
    <x v="0"/>
    <x v="3"/>
  </r>
  <r>
    <d v="2020-05-24T00:00:00"/>
    <x v="9"/>
    <n v="18075"/>
    <n v="1548099"/>
    <m/>
    <m/>
    <m/>
    <x v="0"/>
    <x v="2"/>
  </r>
  <r>
    <d v="2020-05-16T00:00:00"/>
    <x v="10"/>
    <n v="13120.5"/>
    <n v="1215033"/>
    <m/>
    <m/>
    <m/>
    <x v="0"/>
    <x v="1"/>
  </r>
  <r>
    <d v="2020-05-19T00:00:00"/>
    <x v="10"/>
    <n v="16237.5"/>
    <n v="1403047.5"/>
    <m/>
    <m/>
    <m/>
    <x v="0"/>
    <x v="2"/>
  </r>
  <r>
    <d v="2020-05-17T00:00:00"/>
    <x v="10"/>
    <n v="11967"/>
    <n v="1060489.5"/>
    <m/>
    <m/>
    <m/>
    <x v="0"/>
    <x v="1"/>
  </r>
  <r>
    <d v="2020-05-09T00:00:00"/>
    <x v="10"/>
    <n v="12037.5"/>
    <n v="1081216.5"/>
    <m/>
    <m/>
    <m/>
    <x v="0"/>
    <x v="3"/>
  </r>
  <r>
    <d v="2020-05-04T00:00:00"/>
    <x v="10"/>
    <n v="7087.5"/>
    <n v="610855.5"/>
    <m/>
    <m/>
    <m/>
    <x v="0"/>
    <x v="3"/>
  </r>
  <r>
    <d v="2020-04-29T00:00:00"/>
    <x v="11"/>
    <n v="25816.5"/>
    <n v="2360914.5"/>
    <m/>
    <m/>
    <m/>
    <x v="0"/>
    <x v="4"/>
  </r>
  <r>
    <d v="2020-05-02T00:00:00"/>
    <x v="10"/>
    <n v="4624.5"/>
    <n v="433243.5"/>
    <m/>
    <m/>
    <m/>
    <x v="0"/>
    <x v="4"/>
  </r>
  <r>
    <d v="2020-05-26T00:00:00"/>
    <x v="10"/>
    <n v="12259.5"/>
    <n v="1152054"/>
    <m/>
    <m/>
    <m/>
    <x v="0"/>
    <x v="0"/>
  </r>
  <r>
    <d v="2020-05-01T00:00:00"/>
    <x v="10"/>
    <n v="5446.5"/>
    <n v="505572"/>
    <m/>
    <m/>
    <m/>
    <x v="0"/>
    <x v="4"/>
  </r>
  <r>
    <d v="2020-05-12T00:00:00"/>
    <x v="10"/>
    <n v="11296.5"/>
    <n v="989632.5"/>
    <m/>
    <m/>
    <m/>
    <x v="0"/>
    <x v="1"/>
  </r>
  <r>
    <d v="2020-05-21T00:00:00"/>
    <x v="10"/>
    <n v="12135"/>
    <n v="1103623.5"/>
    <m/>
    <m/>
    <m/>
    <x v="0"/>
    <x v="2"/>
  </r>
  <r>
    <d v="2020-05-20T00:00:00"/>
    <x v="10"/>
    <n v="12630"/>
    <n v="1104858"/>
    <m/>
    <m/>
    <m/>
    <x v="0"/>
    <x v="2"/>
  </r>
  <r>
    <d v="2020-05-05T00:00:00"/>
    <x v="10"/>
    <n v="8223"/>
    <n v="694593"/>
    <m/>
    <m/>
    <m/>
    <x v="0"/>
    <x v="3"/>
  </r>
  <r>
    <d v="2020-04-28T00:00:00"/>
    <x v="11"/>
    <n v="25149"/>
    <n v="2277072"/>
    <m/>
    <m/>
    <m/>
    <x v="0"/>
    <x v="4"/>
  </r>
  <r>
    <d v="2020-05-13T00:00:00"/>
    <x v="10"/>
    <n v="10401"/>
    <n v="949912.5"/>
    <m/>
    <m/>
    <m/>
    <x v="0"/>
    <x v="1"/>
  </r>
  <r>
    <d v="2020-05-31T00:00:00"/>
    <x v="9"/>
    <n v="17689.5"/>
    <n v="1592119.5"/>
    <m/>
    <m/>
    <m/>
    <x v="0"/>
    <x v="0"/>
  </r>
  <r>
    <d v="2020-05-03T00:00:00"/>
    <x v="10"/>
    <n v="8127"/>
    <n v="665302.5"/>
    <m/>
    <m/>
    <m/>
    <x v="0"/>
    <x v="4"/>
  </r>
  <r>
    <d v="2020-05-30T00:00:00"/>
    <x v="9"/>
    <n v="27250.5"/>
    <n v="2457252"/>
    <m/>
    <m/>
    <m/>
    <x v="0"/>
    <x v="0"/>
  </r>
  <r>
    <d v="2020-05-06T00:00:00"/>
    <x v="10"/>
    <n v="8464.5"/>
    <n v="739291.5"/>
    <m/>
    <m/>
    <m/>
    <x v="0"/>
    <x v="3"/>
  </r>
  <r>
    <d v="2020-05-23T00:00:00"/>
    <x v="10"/>
    <n v="14167.5"/>
    <n v="1315075.5"/>
    <m/>
    <m/>
    <m/>
    <x v="0"/>
    <x v="2"/>
  </r>
  <r>
    <d v="2020-05-28T00:00:00"/>
    <x v="9"/>
    <n v="16500"/>
    <n v="1487928"/>
    <m/>
    <m/>
    <m/>
    <x v="0"/>
    <x v="0"/>
  </r>
  <r>
    <d v="2020-05-25T00:00:00"/>
    <x v="10"/>
    <n v="13260"/>
    <n v="1230687"/>
    <m/>
    <m/>
    <m/>
    <x v="0"/>
    <x v="0"/>
  </r>
  <r>
    <d v="2020-04-30T00:00:00"/>
    <x v="10"/>
    <n v="4285.5"/>
    <n v="404691"/>
    <m/>
    <m/>
    <m/>
    <x v="0"/>
    <x v="4"/>
  </r>
  <r>
    <d v="2020-05-10T00:00:00"/>
    <x v="10"/>
    <n v="13440"/>
    <n v="1198285.5"/>
    <m/>
    <m/>
    <m/>
    <x v="0"/>
    <x v="3"/>
  </r>
  <r>
    <d v="2020-05-08T00:00:00"/>
    <x v="10"/>
    <n v="9058.5"/>
    <n v="798759"/>
    <m/>
    <m/>
    <m/>
    <x v="0"/>
    <x v="3"/>
  </r>
  <r>
    <d v="2020-05-07T00:00:00"/>
    <x v="10"/>
    <n v="8719.5"/>
    <n v="769276.5"/>
    <m/>
    <m/>
    <m/>
    <x v="0"/>
    <x v="3"/>
  </r>
  <r>
    <d v="2020-05-24T00:00:00"/>
    <x v="10"/>
    <n v="12666"/>
    <n v="1184865"/>
    <m/>
    <m/>
    <m/>
    <x v="0"/>
    <x v="2"/>
  </r>
  <r>
    <d v="2020-05-16T00:00:00"/>
    <x v="11"/>
    <n v="34563"/>
    <n v="2922883.5"/>
    <m/>
    <m/>
    <m/>
    <x v="0"/>
    <x v="1"/>
  </r>
  <r>
    <d v="2020-05-19T00:00:00"/>
    <x v="11"/>
    <n v="28882.5"/>
    <n v="2446530"/>
    <m/>
    <m/>
    <m/>
    <x v="0"/>
    <x v="2"/>
  </r>
  <r>
    <d v="2020-05-17T00:00:00"/>
    <x v="11"/>
    <n v="28275"/>
    <n v="2435632.5"/>
    <m/>
    <m/>
    <m/>
    <x v="0"/>
    <x v="1"/>
  </r>
  <r>
    <d v="2020-05-09T00:00:00"/>
    <x v="11"/>
    <n v="26271"/>
    <n v="2384937"/>
    <m/>
    <m/>
    <m/>
    <x v="0"/>
    <x v="3"/>
  </r>
  <r>
    <d v="2020-05-04T00:00:00"/>
    <x v="11"/>
    <n v="23587.5"/>
    <n v="2155668"/>
    <m/>
    <m/>
    <m/>
    <x v="0"/>
    <x v="3"/>
  </r>
  <r>
    <d v="2020-05-02T00:00:00"/>
    <x v="11"/>
    <n v="18427.5"/>
    <n v="1682851.5"/>
    <m/>
    <m/>
    <m/>
    <x v="0"/>
    <x v="4"/>
  </r>
  <r>
    <d v="2020-05-26T00:00:00"/>
    <x v="11"/>
    <n v="27156"/>
    <n v="2410803"/>
    <m/>
    <m/>
    <m/>
    <x v="0"/>
    <x v="0"/>
  </r>
  <r>
    <d v="2020-05-01T00:00:00"/>
    <x v="11"/>
    <n v="35190"/>
    <n v="3168510"/>
    <m/>
    <m/>
    <m/>
    <x v="0"/>
    <x v="4"/>
  </r>
  <r>
    <d v="2020-05-12T00:00:00"/>
    <x v="11"/>
    <n v="25483.5"/>
    <n v="2243160"/>
    <m/>
    <m/>
    <m/>
    <x v="0"/>
    <x v="1"/>
  </r>
  <r>
    <d v="2020-05-21T00:00:00"/>
    <x v="11"/>
    <n v="25362"/>
    <n v="2198935.5"/>
    <m/>
    <m/>
    <m/>
    <x v="0"/>
    <x v="2"/>
  </r>
  <r>
    <d v="2020-05-20T00:00:00"/>
    <x v="11"/>
    <n v="28849.5"/>
    <n v="2520759"/>
    <m/>
    <m/>
    <m/>
    <x v="0"/>
    <x v="2"/>
  </r>
  <r>
    <d v="2020-05-05T00:00:00"/>
    <x v="11"/>
    <n v="26367"/>
    <n v="2380333.5"/>
    <m/>
    <m/>
    <m/>
    <x v="0"/>
    <x v="3"/>
  </r>
  <r>
    <d v="2020-05-13T00:00:00"/>
    <x v="11"/>
    <n v="25539"/>
    <n v="2263651.5"/>
    <m/>
    <m/>
    <m/>
    <x v="0"/>
    <x v="1"/>
  </r>
  <r>
    <d v="2020-05-31T00:00:00"/>
    <x v="10"/>
    <n v="14808"/>
    <n v="1336789.5"/>
    <m/>
    <m/>
    <m/>
    <x v="0"/>
    <x v="0"/>
  </r>
  <r>
    <d v="2020-05-03T00:00:00"/>
    <x v="11"/>
    <n v="21343.5"/>
    <n v="1906557"/>
    <m/>
    <m/>
    <m/>
    <x v="0"/>
    <x v="4"/>
  </r>
  <r>
    <d v="2020-05-30T00:00:00"/>
    <x v="10"/>
    <n v="17946"/>
    <n v="1609090.5"/>
    <m/>
    <m/>
    <m/>
    <x v="0"/>
    <x v="0"/>
  </r>
  <r>
    <d v="2020-05-06T00:00:00"/>
    <x v="11"/>
    <n v="24337.5"/>
    <n v="2159350.5"/>
    <m/>
    <m/>
    <m/>
    <x v="0"/>
    <x v="3"/>
  </r>
  <r>
    <d v="2020-05-23T00:00:00"/>
    <x v="11"/>
    <n v="36997.5"/>
    <n v="3089140.5"/>
    <m/>
    <m/>
    <m/>
    <x v="0"/>
    <x v="2"/>
  </r>
  <r>
    <d v="2020-05-28T00:00:00"/>
    <x v="10"/>
    <n v="13864.5"/>
    <n v="1239747"/>
    <m/>
    <m/>
    <m/>
    <x v="0"/>
    <x v="0"/>
  </r>
  <r>
    <d v="2020-05-25T00:00:00"/>
    <x v="11"/>
    <n v="28494"/>
    <n v="2512803"/>
    <m/>
    <m/>
    <m/>
    <x v="0"/>
    <x v="0"/>
  </r>
  <r>
    <d v="2020-04-30T00:00:00"/>
    <x v="11"/>
    <n v="27883.5"/>
    <n v="2560080"/>
    <m/>
    <m/>
    <m/>
    <x v="0"/>
    <x v="4"/>
  </r>
  <r>
    <d v="2020-05-10T00:00:00"/>
    <x v="11"/>
    <n v="31224"/>
    <n v="2767270.5"/>
    <m/>
    <m/>
    <m/>
    <x v="0"/>
    <x v="3"/>
  </r>
  <r>
    <d v="2020-05-08T00:00:00"/>
    <x v="11"/>
    <n v="25020"/>
    <n v="2235960"/>
    <m/>
    <m/>
    <m/>
    <x v="0"/>
    <x v="3"/>
  </r>
  <r>
    <d v="2020-05-07T00:00:00"/>
    <x v="11"/>
    <n v="26184"/>
    <n v="2308336.5"/>
    <m/>
    <m/>
    <m/>
    <x v="0"/>
    <x v="3"/>
  </r>
  <r>
    <d v="2020-05-24T00:00:00"/>
    <x v="11"/>
    <n v="29824.5"/>
    <n v="2526909"/>
    <m/>
    <m/>
    <m/>
    <x v="0"/>
    <x v="2"/>
  </r>
  <r>
    <d v="2020-04-29T00:00:00"/>
    <x v="12"/>
    <n v="208351.5"/>
    <n v="21615333"/>
    <m/>
    <m/>
    <m/>
    <x v="0"/>
    <x v="4"/>
  </r>
  <r>
    <d v="2020-04-28T00:00:00"/>
    <x v="12"/>
    <n v="204637.5"/>
    <n v="21114898.5"/>
    <m/>
    <m/>
    <m/>
    <x v="0"/>
    <x v="4"/>
  </r>
  <r>
    <d v="2020-05-31T00:00:00"/>
    <x v="11"/>
    <n v="31372.5"/>
    <n v="2794324.5"/>
    <m/>
    <m/>
    <m/>
    <x v="0"/>
    <x v="0"/>
  </r>
  <r>
    <d v="2020-05-30T00:00:00"/>
    <x v="11"/>
    <n v="34681.5"/>
    <n v="3005334"/>
    <m/>
    <m/>
    <m/>
    <x v="0"/>
    <x v="0"/>
  </r>
  <r>
    <d v="2020-05-28T00:00:00"/>
    <x v="11"/>
    <n v="28197"/>
    <n v="2559211.5"/>
    <m/>
    <m/>
    <m/>
    <x v="0"/>
    <x v="0"/>
  </r>
  <r>
    <d v="2020-05-16T00:00:00"/>
    <x v="12"/>
    <n v="236551.5"/>
    <n v="23689383"/>
    <m/>
    <m/>
    <m/>
    <x v="0"/>
    <x v="1"/>
  </r>
  <r>
    <d v="2020-05-19T00:00:00"/>
    <x v="12"/>
    <n v="223597.5"/>
    <n v="21945858"/>
    <m/>
    <m/>
    <m/>
    <x v="0"/>
    <x v="2"/>
  </r>
  <r>
    <d v="2020-05-17T00:00:00"/>
    <x v="12"/>
    <n v="193363.5"/>
    <n v="19546386"/>
    <m/>
    <m/>
    <m/>
    <x v="0"/>
    <x v="1"/>
  </r>
  <r>
    <d v="2020-05-09T00:00:00"/>
    <x v="12"/>
    <n v="188319"/>
    <n v="19218631.5"/>
    <m/>
    <m/>
    <m/>
    <x v="0"/>
    <x v="3"/>
  </r>
  <r>
    <d v="2020-05-04T00:00:00"/>
    <x v="12"/>
    <n v="237544.5"/>
    <n v="24292218"/>
    <m/>
    <m/>
    <m/>
    <x v="0"/>
    <x v="3"/>
  </r>
  <r>
    <d v="2020-04-29T00:00:00"/>
    <x v="13"/>
    <n v="203209.5"/>
    <n v="20871391.5"/>
    <m/>
    <m/>
    <m/>
    <x v="0"/>
    <x v="4"/>
  </r>
  <r>
    <d v="2020-05-02T00:00:00"/>
    <x v="12"/>
    <n v="185979"/>
    <n v="19625364"/>
    <m/>
    <m/>
    <m/>
    <x v="0"/>
    <x v="4"/>
  </r>
  <r>
    <d v="2020-05-26T00:00:00"/>
    <x v="12"/>
    <n v="244905"/>
    <n v="25163431.5"/>
    <m/>
    <m/>
    <m/>
    <x v="0"/>
    <x v="0"/>
  </r>
  <r>
    <d v="2020-05-01T00:00:00"/>
    <x v="12"/>
    <n v="239409"/>
    <n v="25413351"/>
    <m/>
    <m/>
    <m/>
    <x v="0"/>
    <x v="4"/>
  </r>
  <r>
    <d v="2020-05-12T00:00:00"/>
    <x v="12"/>
    <n v="192886.5"/>
    <n v="19205179.5"/>
    <m/>
    <m/>
    <m/>
    <x v="0"/>
    <x v="1"/>
  </r>
  <r>
    <d v="2020-05-21T00:00:00"/>
    <x v="12"/>
    <n v="224233.5"/>
    <n v="22253295"/>
    <m/>
    <m/>
    <m/>
    <x v="0"/>
    <x v="2"/>
  </r>
  <r>
    <d v="2020-05-20T00:00:00"/>
    <x v="12"/>
    <n v="219622.5"/>
    <n v="21959286"/>
    <m/>
    <m/>
    <m/>
    <x v="0"/>
    <x v="2"/>
  </r>
  <r>
    <d v="2020-05-05T00:00:00"/>
    <x v="12"/>
    <n v="213582"/>
    <n v="21919435.5"/>
    <m/>
    <m/>
    <m/>
    <x v="0"/>
    <x v="3"/>
  </r>
  <r>
    <d v="2020-04-28T00:00:00"/>
    <x v="13"/>
    <n v="195705"/>
    <n v="20003263.5"/>
    <m/>
    <m/>
    <m/>
    <x v="0"/>
    <x v="4"/>
  </r>
  <r>
    <d v="2020-05-13T00:00:00"/>
    <x v="12"/>
    <n v="193722"/>
    <n v="19437273"/>
    <m/>
    <m/>
    <m/>
    <x v="0"/>
    <x v="1"/>
  </r>
  <r>
    <d v="2020-05-03T00:00:00"/>
    <x v="12"/>
    <n v="257215.5"/>
    <n v="26492278.5"/>
    <m/>
    <m/>
    <m/>
    <x v="0"/>
    <x v="4"/>
  </r>
  <r>
    <d v="2020-05-06T00:00:00"/>
    <x v="12"/>
    <n v="224779.5"/>
    <n v="23032992"/>
    <m/>
    <m/>
    <m/>
    <x v="0"/>
    <x v="3"/>
  </r>
  <r>
    <d v="2020-05-23T00:00:00"/>
    <x v="12"/>
    <n v="292018.5"/>
    <n v="28590910.5"/>
    <m/>
    <m/>
    <m/>
    <x v="0"/>
    <x v="2"/>
  </r>
  <r>
    <d v="2020-05-25T00:00:00"/>
    <x v="12"/>
    <n v="198751.5"/>
    <n v="20582743.5"/>
    <m/>
    <m/>
    <m/>
    <x v="0"/>
    <x v="0"/>
  </r>
  <r>
    <d v="2020-04-30T00:00:00"/>
    <x v="12"/>
    <n v="214386"/>
    <n v="22530000"/>
    <m/>
    <m/>
    <m/>
    <x v="0"/>
    <x v="4"/>
  </r>
  <r>
    <d v="2020-05-10T00:00:00"/>
    <x v="12"/>
    <n v="243825"/>
    <n v="24890404.5"/>
    <m/>
    <m/>
    <m/>
    <x v="0"/>
    <x v="3"/>
  </r>
  <r>
    <d v="2020-05-08T00:00:00"/>
    <x v="12"/>
    <n v="232701"/>
    <n v="23881948.5"/>
    <m/>
    <m/>
    <m/>
    <x v="0"/>
    <x v="3"/>
  </r>
  <r>
    <d v="2020-05-07T00:00:00"/>
    <x v="12"/>
    <n v="219411"/>
    <n v="22460130"/>
    <m/>
    <m/>
    <m/>
    <x v="0"/>
    <x v="3"/>
  </r>
  <r>
    <d v="2020-05-24T00:00:00"/>
    <x v="12"/>
    <n v="200029.5"/>
    <n v="19959801"/>
    <m/>
    <m/>
    <m/>
    <x v="0"/>
    <x v="2"/>
  </r>
  <r>
    <d v="2020-05-16T00:00:00"/>
    <x v="13"/>
    <n v="225480"/>
    <n v="22355338.5"/>
    <m/>
    <m/>
    <m/>
    <x v="0"/>
    <x v="1"/>
  </r>
  <r>
    <d v="2020-05-19T00:00:00"/>
    <x v="13"/>
    <n v="211453.5"/>
    <n v="20590072.5"/>
    <m/>
    <m/>
    <m/>
    <x v="0"/>
    <x v="2"/>
  </r>
  <r>
    <d v="2020-05-17T00:00:00"/>
    <x v="13"/>
    <n v="184801.5"/>
    <n v="18449091"/>
    <m/>
    <m/>
    <m/>
    <x v="0"/>
    <x v="1"/>
  </r>
  <r>
    <d v="2020-05-09T00:00:00"/>
    <x v="13"/>
    <n v="177976.5"/>
    <n v="18085798.5"/>
    <m/>
    <m/>
    <m/>
    <x v="0"/>
    <x v="3"/>
  </r>
  <r>
    <d v="2020-05-04T00:00:00"/>
    <x v="13"/>
    <n v="223617"/>
    <n v="22796827.5"/>
    <m/>
    <m/>
    <m/>
    <x v="0"/>
    <x v="3"/>
  </r>
  <r>
    <d v="2020-05-02T00:00:00"/>
    <x v="13"/>
    <n v="176397"/>
    <n v="18625921.5"/>
    <m/>
    <m/>
    <m/>
    <x v="0"/>
    <x v="4"/>
  </r>
  <r>
    <d v="2020-05-26T00:00:00"/>
    <x v="13"/>
    <n v="232369.5"/>
    <n v="23856345"/>
    <m/>
    <m/>
    <m/>
    <x v="0"/>
    <x v="0"/>
  </r>
  <r>
    <d v="2020-05-01T00:00:00"/>
    <x v="13"/>
    <n v="226540.5"/>
    <n v="23953536"/>
    <m/>
    <m/>
    <m/>
    <x v="0"/>
    <x v="4"/>
  </r>
  <r>
    <d v="2020-05-12T00:00:00"/>
    <x v="13"/>
    <n v="189679.5"/>
    <n v="18718036.5"/>
    <m/>
    <m/>
    <m/>
    <x v="0"/>
    <x v="1"/>
  </r>
  <r>
    <d v="2020-05-21T00:00:00"/>
    <x v="13"/>
    <n v="213640.5"/>
    <n v="21042673.5"/>
    <m/>
    <m/>
    <m/>
    <x v="0"/>
    <x v="2"/>
  </r>
  <r>
    <d v="2020-05-20T00:00:00"/>
    <x v="13"/>
    <n v="214885.5"/>
    <n v="21411349.5"/>
    <m/>
    <m/>
    <m/>
    <x v="0"/>
    <x v="2"/>
  </r>
  <r>
    <d v="2020-05-05T00:00:00"/>
    <x v="13"/>
    <n v="203832"/>
    <n v="20880142.5"/>
    <m/>
    <m/>
    <m/>
    <x v="0"/>
    <x v="3"/>
  </r>
  <r>
    <d v="2020-05-13T00:00:00"/>
    <x v="13"/>
    <n v="188662.5"/>
    <n v="18784000.5"/>
    <m/>
    <m/>
    <m/>
    <x v="0"/>
    <x v="1"/>
  </r>
  <r>
    <d v="2020-05-31T00:00:00"/>
    <x v="12"/>
    <n v="215277"/>
    <n v="21585316.5"/>
    <m/>
    <m/>
    <m/>
    <x v="0"/>
    <x v="0"/>
  </r>
  <r>
    <d v="2020-05-03T00:00:00"/>
    <x v="13"/>
    <n v="248148"/>
    <n v="25519072.5"/>
    <m/>
    <m/>
    <m/>
    <x v="0"/>
    <x v="4"/>
  </r>
  <r>
    <d v="2020-05-30T00:00:00"/>
    <x v="12"/>
    <n v="246414"/>
    <n v="24527245.5"/>
    <m/>
    <m/>
    <m/>
    <x v="0"/>
    <x v="0"/>
  </r>
  <r>
    <d v="2020-05-06T00:00:00"/>
    <x v="13"/>
    <n v="216498"/>
    <n v="22126444.5"/>
    <m/>
    <m/>
    <m/>
    <x v="0"/>
    <x v="3"/>
  </r>
  <r>
    <d v="2020-05-23T00:00:00"/>
    <x v="13"/>
    <n v="275793"/>
    <n v="26806626"/>
    <m/>
    <m/>
    <m/>
    <x v="0"/>
    <x v="2"/>
  </r>
  <r>
    <d v="2020-05-28T00:00:00"/>
    <x v="12"/>
    <n v="199753.5"/>
    <n v="20535733.5"/>
    <m/>
    <m/>
    <m/>
    <x v="0"/>
    <x v="0"/>
  </r>
  <r>
    <d v="2020-05-25T00:00:00"/>
    <x v="13"/>
    <n v="192948"/>
    <n v="19806927"/>
    <m/>
    <m/>
    <m/>
    <x v="0"/>
    <x v="0"/>
  </r>
  <r>
    <d v="2020-04-30T00:00:00"/>
    <x v="13"/>
    <n v="206038.5"/>
    <n v="21740460"/>
    <m/>
    <m/>
    <m/>
    <x v="0"/>
    <x v="4"/>
  </r>
  <r>
    <d v="2020-05-10T00:00:00"/>
    <x v="13"/>
    <n v="231559.5"/>
    <n v="23443725"/>
    <m/>
    <m/>
    <m/>
    <x v="0"/>
    <x v="3"/>
  </r>
  <r>
    <d v="2020-05-08T00:00:00"/>
    <x v="13"/>
    <n v="225076.5"/>
    <n v="22846078.5"/>
    <m/>
    <m/>
    <m/>
    <x v="0"/>
    <x v="3"/>
  </r>
  <r>
    <d v="2020-05-07T00:00:00"/>
    <x v="13"/>
    <n v="209415"/>
    <n v="21463023"/>
    <m/>
    <m/>
    <m/>
    <x v="0"/>
    <x v="3"/>
  </r>
  <r>
    <d v="2020-05-24T00:00:00"/>
    <x v="13"/>
    <n v="193719"/>
    <n v="19071117"/>
    <m/>
    <m/>
    <m/>
    <x v="0"/>
    <x v="2"/>
  </r>
  <r>
    <d v="2020-04-29T00:00:00"/>
    <x v="14"/>
    <n v="12250.5"/>
    <n v="981519"/>
    <m/>
    <m/>
    <m/>
    <x v="0"/>
    <x v="4"/>
  </r>
  <r>
    <d v="2020-04-28T00:00:00"/>
    <x v="14"/>
    <n v="12541.5"/>
    <n v="992541"/>
    <m/>
    <m/>
    <m/>
    <x v="0"/>
    <x v="4"/>
  </r>
  <r>
    <d v="2020-05-31T00:00:00"/>
    <x v="13"/>
    <n v="206758.5"/>
    <n v="20717248.5"/>
    <m/>
    <m/>
    <m/>
    <x v="0"/>
    <x v="0"/>
  </r>
  <r>
    <d v="2020-05-30T00:00:00"/>
    <x v="13"/>
    <n v="244734"/>
    <n v="24151980"/>
    <m/>
    <m/>
    <m/>
    <x v="0"/>
    <x v="0"/>
  </r>
  <r>
    <d v="2020-05-28T00:00:00"/>
    <x v="13"/>
    <n v="191641.5"/>
    <n v="19549036.5"/>
    <m/>
    <m/>
    <m/>
    <x v="0"/>
    <x v="0"/>
  </r>
  <r>
    <d v="2020-05-16T00:00:00"/>
    <x v="14"/>
    <n v="16368"/>
    <n v="1316350.5"/>
    <m/>
    <m/>
    <m/>
    <x v="0"/>
    <x v="1"/>
  </r>
  <r>
    <d v="2020-05-19T00:00:00"/>
    <x v="14"/>
    <n v="14427"/>
    <n v="1126810.5"/>
    <m/>
    <m/>
    <m/>
    <x v="0"/>
    <x v="2"/>
  </r>
  <r>
    <d v="2020-05-17T00:00:00"/>
    <x v="14"/>
    <n v="13440"/>
    <n v="1157529"/>
    <m/>
    <m/>
    <m/>
    <x v="0"/>
    <x v="1"/>
  </r>
  <r>
    <d v="2020-05-09T00:00:00"/>
    <x v="14"/>
    <n v="11745"/>
    <n v="955801.5"/>
    <m/>
    <m/>
    <m/>
    <x v="0"/>
    <x v="3"/>
  </r>
  <r>
    <d v="2020-05-04T00:00:00"/>
    <x v="14"/>
    <n v="11062.5"/>
    <n v="906343.5"/>
    <m/>
    <m/>
    <m/>
    <x v="0"/>
    <x v="3"/>
  </r>
  <r>
    <d v="2020-05-02T00:00:00"/>
    <x v="14"/>
    <n v="10018.5"/>
    <n v="816859.5"/>
    <m/>
    <m/>
    <m/>
    <x v="0"/>
    <x v="4"/>
  </r>
  <r>
    <d v="2020-05-26T00:00:00"/>
    <x v="15"/>
    <n v="10437"/>
    <n v="833815.5"/>
    <m/>
    <m/>
    <m/>
    <x v="0"/>
    <x v="0"/>
  </r>
  <r>
    <d v="2020-05-01T00:00:00"/>
    <x v="14"/>
    <n v="13644"/>
    <n v="1134444"/>
    <m/>
    <m/>
    <m/>
    <x v="0"/>
    <x v="4"/>
  </r>
  <r>
    <d v="2020-05-12T00:00:00"/>
    <x v="14"/>
    <n v="13443"/>
    <n v="1092277.5"/>
    <m/>
    <m/>
    <m/>
    <x v="0"/>
    <x v="1"/>
  </r>
  <r>
    <d v="2020-05-21T00:00:00"/>
    <x v="14"/>
    <n v="14182.5"/>
    <n v="1172574"/>
    <m/>
    <m/>
    <m/>
    <x v="0"/>
    <x v="2"/>
  </r>
  <r>
    <d v="2020-05-20T00:00:00"/>
    <x v="14"/>
    <n v="14928"/>
    <n v="1217749.5"/>
    <m/>
    <m/>
    <m/>
    <x v="0"/>
    <x v="2"/>
  </r>
  <r>
    <d v="2020-05-05T00:00:00"/>
    <x v="14"/>
    <n v="13941"/>
    <n v="1145575.5"/>
    <m/>
    <m/>
    <m/>
    <x v="0"/>
    <x v="3"/>
  </r>
  <r>
    <d v="2020-05-13T00:00:00"/>
    <x v="14"/>
    <n v="14643"/>
    <n v="1172691"/>
    <m/>
    <m/>
    <m/>
    <x v="0"/>
    <x v="1"/>
  </r>
  <r>
    <d v="2020-05-03T00:00:00"/>
    <x v="14"/>
    <n v="10032"/>
    <n v="816150"/>
    <m/>
    <m/>
    <m/>
    <x v="0"/>
    <x v="4"/>
  </r>
  <r>
    <d v="2020-05-06T00:00:00"/>
    <x v="14"/>
    <n v="12468"/>
    <n v="1016566.5"/>
    <m/>
    <m/>
    <m/>
    <x v="0"/>
    <x v="3"/>
  </r>
  <r>
    <d v="2020-05-23T00:00:00"/>
    <x v="14"/>
    <n v="17943"/>
    <n v="1457391"/>
    <m/>
    <m/>
    <m/>
    <x v="0"/>
    <x v="2"/>
  </r>
  <r>
    <d v="2020-05-25T00:00:00"/>
    <x v="14"/>
    <n v="15807"/>
    <n v="1326705"/>
    <m/>
    <m/>
    <m/>
    <x v="0"/>
    <x v="0"/>
  </r>
  <r>
    <d v="2020-04-30T00:00:00"/>
    <x v="14"/>
    <n v="11976"/>
    <n v="1004511"/>
    <m/>
    <m/>
    <m/>
    <x v="0"/>
    <x v="4"/>
  </r>
  <r>
    <d v="2020-05-10T00:00:00"/>
    <x v="14"/>
    <n v="14566.5"/>
    <n v="1216557"/>
    <m/>
    <m/>
    <m/>
    <x v="0"/>
    <x v="3"/>
  </r>
  <r>
    <d v="2020-05-08T00:00:00"/>
    <x v="14"/>
    <n v="12976.5"/>
    <n v="1046848.5"/>
    <m/>
    <m/>
    <m/>
    <x v="0"/>
    <x v="3"/>
  </r>
  <r>
    <d v="2020-05-07T00:00:00"/>
    <x v="14"/>
    <n v="11719.5"/>
    <n v="965880"/>
    <m/>
    <m/>
    <m/>
    <x v="0"/>
    <x v="3"/>
  </r>
  <r>
    <d v="2020-05-24T00:00:00"/>
    <x v="14"/>
    <n v="17197.5"/>
    <n v="1386262.5"/>
    <m/>
    <m/>
    <m/>
    <x v="0"/>
    <x v="2"/>
  </r>
  <r>
    <d v="2020-05-26T00:00:00"/>
    <x v="14"/>
    <n v="14419.5"/>
    <n v="1210456.5"/>
    <m/>
    <m/>
    <m/>
    <x v="0"/>
    <x v="0"/>
  </r>
  <r>
    <d v="2020-06-01T00:00:00"/>
    <x v="0"/>
    <n v="7816.5"/>
    <n v="636345"/>
    <m/>
    <m/>
    <m/>
    <x v="0"/>
    <x v="5"/>
  </r>
  <r>
    <d v="2020-05-31T00:00:00"/>
    <x v="16"/>
    <n v="6409.5"/>
    <n v="493893"/>
    <m/>
    <m/>
    <m/>
    <x v="0"/>
    <x v="0"/>
  </r>
  <r>
    <d v="2020-05-30T00:00:00"/>
    <x v="15"/>
    <n v="11220"/>
    <n v="928675.5"/>
    <m/>
    <m/>
    <m/>
    <x v="0"/>
    <x v="0"/>
  </r>
  <r>
    <d v="2020-05-29T00:00:00"/>
    <x v="0"/>
    <n v="8350.5"/>
    <n v="651237"/>
    <m/>
    <m/>
    <m/>
    <x v="0"/>
    <x v="0"/>
  </r>
  <r>
    <d v="2020-05-28T00:00:00"/>
    <x v="15"/>
    <n v="8428.5"/>
    <n v="694669.5"/>
    <m/>
    <m/>
    <m/>
    <x v="0"/>
    <x v="0"/>
  </r>
  <r>
    <d v="2020-05-27T00:00:00"/>
    <x v="1"/>
    <n v="32817"/>
    <n v="3015751.5"/>
    <m/>
    <m/>
    <m/>
    <x v="0"/>
    <x v="0"/>
  </r>
  <r>
    <d v="2020-05-22T00:00:00"/>
    <x v="1"/>
    <n v="36031.5"/>
    <n v="3091069.5"/>
    <m/>
    <m/>
    <m/>
    <x v="0"/>
    <x v="2"/>
  </r>
  <r>
    <d v="2020-05-31T00:00:00"/>
    <x v="17"/>
    <n v="5127"/>
    <n v="468835.5"/>
    <m/>
    <m/>
    <m/>
    <x v="0"/>
    <x v="0"/>
  </r>
  <r>
    <d v="2020-05-11T00:00:00"/>
    <x v="1"/>
    <n v="27187.5"/>
    <n v="2479396.5"/>
    <m/>
    <m/>
    <m/>
    <x v="0"/>
    <x v="1"/>
  </r>
  <r>
    <d v="2020-05-30T00:00:00"/>
    <x v="14"/>
    <n v="20688"/>
    <n v="1773154.5"/>
    <m/>
    <m/>
    <m/>
    <x v="0"/>
    <x v="0"/>
  </r>
  <r>
    <d v="2020-05-28T00:00:00"/>
    <x v="14"/>
    <n v="15678"/>
    <n v="1387443"/>
    <m/>
    <m/>
    <m/>
    <x v="0"/>
    <x v="0"/>
  </r>
  <r>
    <d v="2020-05-18T00:00:00"/>
    <x v="1"/>
    <n v="31329"/>
    <n v="2826379.5"/>
    <m/>
    <m/>
    <m/>
    <x v="0"/>
    <x v="2"/>
  </r>
  <r>
    <d v="2020-05-14T00:00:00"/>
    <x v="1"/>
    <n v="29658"/>
    <n v="2703132"/>
    <m/>
    <m/>
    <m/>
    <x v="0"/>
    <x v="1"/>
  </r>
  <r>
    <d v="2020-05-15T00:00:00"/>
    <x v="1"/>
    <n v="34150.5"/>
    <n v="3038293.5"/>
    <m/>
    <m/>
    <m/>
    <x v="0"/>
    <x v="1"/>
  </r>
  <r>
    <d v="2020-06-01T00:00:00"/>
    <x v="1"/>
    <n v="31947"/>
    <n v="2945035.5"/>
    <m/>
    <m/>
    <m/>
    <x v="0"/>
    <x v="5"/>
  </r>
  <r>
    <d v="2020-05-31T00:00:00"/>
    <x v="15"/>
    <n v="10416"/>
    <n v="866023.5"/>
    <m/>
    <m/>
    <m/>
    <x v="0"/>
    <x v="0"/>
  </r>
  <r>
    <d v="2020-05-29T00:00:00"/>
    <x v="1"/>
    <n v="35431.5"/>
    <n v="3193167"/>
    <m/>
    <m/>
    <m/>
    <x v="0"/>
    <x v="0"/>
  </r>
  <r>
    <d v="2020-05-27T00:00:00"/>
    <x v="2"/>
    <n v="78544.5"/>
    <n v="6701083.5"/>
    <m/>
    <m/>
    <m/>
    <x v="0"/>
    <x v="0"/>
  </r>
  <r>
    <d v="2020-05-22T00:00:00"/>
    <x v="2"/>
    <n v="97963.5"/>
    <n v="7728465"/>
    <m/>
    <m/>
    <m/>
    <x v="0"/>
    <x v="2"/>
  </r>
  <r>
    <d v="2020-06-01T00:00:00"/>
    <x v="2"/>
    <n v="77269.5"/>
    <n v="6829921.5"/>
    <m/>
    <m/>
    <m/>
    <x v="0"/>
    <x v="5"/>
  </r>
  <r>
    <d v="2020-05-31T00:00:00"/>
    <x v="14"/>
    <n v="16143"/>
    <n v="1423410"/>
    <m/>
    <m/>
    <m/>
    <x v="0"/>
    <x v="0"/>
  </r>
  <r>
    <d v="2020-05-11T00:00:00"/>
    <x v="2"/>
    <n v="72220.5"/>
    <n v="6398719.5"/>
    <m/>
    <m/>
    <m/>
    <x v="0"/>
    <x v="1"/>
  </r>
  <r>
    <d v="2020-05-18T00:00:00"/>
    <x v="2"/>
    <n v="78058.5"/>
    <n v="6609714"/>
    <m/>
    <m/>
    <m/>
    <x v="0"/>
    <x v="2"/>
  </r>
  <r>
    <d v="2020-05-14T00:00:00"/>
    <x v="2"/>
    <n v="70498.5"/>
    <n v="6053649"/>
    <m/>
    <m/>
    <m/>
    <x v="0"/>
    <x v="1"/>
  </r>
  <r>
    <d v="2020-05-15T00:00:00"/>
    <x v="2"/>
    <n v="78961.5"/>
    <n v="6876454.5"/>
    <m/>
    <m/>
    <m/>
    <x v="0"/>
    <x v="1"/>
  </r>
  <r>
    <d v="2020-05-27T00:00:00"/>
    <x v="3"/>
    <n v="12490.5"/>
    <n v="1054798.5"/>
    <m/>
    <m/>
    <m/>
    <x v="0"/>
    <x v="0"/>
  </r>
  <r>
    <d v="2020-05-22T00:00:00"/>
    <x v="3"/>
    <n v="18036"/>
    <n v="1455049.5"/>
    <m/>
    <m/>
    <m/>
    <x v="0"/>
    <x v="2"/>
  </r>
  <r>
    <d v="2020-06-01T00:00:00"/>
    <x v="3"/>
    <n v="11416.5"/>
    <n v="1007742"/>
    <m/>
    <m/>
    <m/>
    <x v="0"/>
    <x v="5"/>
  </r>
  <r>
    <d v="2020-05-11T00:00:00"/>
    <x v="3"/>
    <n v="9007.5"/>
    <n v="734335.5"/>
    <m/>
    <m/>
    <m/>
    <x v="0"/>
    <x v="1"/>
  </r>
  <r>
    <d v="2020-05-29T00:00:00"/>
    <x v="2"/>
    <n v="87552"/>
    <n v="7387116"/>
    <m/>
    <m/>
    <m/>
    <x v="0"/>
    <x v="0"/>
  </r>
  <r>
    <d v="2020-05-18T00:00:00"/>
    <x v="3"/>
    <n v="11680.5"/>
    <n v="936427.5"/>
    <m/>
    <m/>
    <m/>
    <x v="0"/>
    <x v="2"/>
  </r>
  <r>
    <d v="2020-05-14T00:00:00"/>
    <x v="3"/>
    <n v="12037.5"/>
    <n v="981564"/>
    <m/>
    <m/>
    <m/>
    <x v="0"/>
    <x v="1"/>
  </r>
  <r>
    <d v="2020-05-15T00:00:00"/>
    <x v="3"/>
    <n v="14421"/>
    <n v="1150579.5"/>
    <m/>
    <m/>
    <m/>
    <x v="0"/>
    <x v="1"/>
  </r>
  <r>
    <d v="2020-05-29T00:00:00"/>
    <x v="3"/>
    <n v="14823"/>
    <n v="1273464"/>
    <m/>
    <m/>
    <m/>
    <x v="0"/>
    <x v="0"/>
  </r>
  <r>
    <d v="2020-05-27T00:00:00"/>
    <x v="4"/>
    <n v="31257"/>
    <n v="2924133"/>
    <m/>
    <m/>
    <m/>
    <x v="0"/>
    <x v="0"/>
  </r>
  <r>
    <d v="2020-05-22T00:00:00"/>
    <x v="4"/>
    <n v="38074.5"/>
    <n v="3414180"/>
    <m/>
    <m/>
    <m/>
    <x v="0"/>
    <x v="2"/>
  </r>
  <r>
    <d v="2020-06-01T00:00:00"/>
    <x v="4"/>
    <n v="32170.5"/>
    <n v="3013512"/>
    <m/>
    <m/>
    <m/>
    <x v="0"/>
    <x v="5"/>
  </r>
  <r>
    <d v="2020-05-11T00:00:00"/>
    <x v="4"/>
    <n v="42397.5"/>
    <n v="3911979"/>
    <m/>
    <m/>
    <m/>
    <x v="0"/>
    <x v="1"/>
  </r>
  <r>
    <d v="2020-05-18T00:00:00"/>
    <x v="4"/>
    <n v="28668"/>
    <n v="2588148"/>
    <m/>
    <m/>
    <m/>
    <x v="0"/>
    <x v="2"/>
  </r>
  <r>
    <d v="2020-05-14T00:00:00"/>
    <x v="4"/>
    <n v="27411"/>
    <n v="2441520"/>
    <m/>
    <m/>
    <m/>
    <x v="0"/>
    <x v="1"/>
  </r>
  <r>
    <d v="2020-05-15T00:00:00"/>
    <x v="4"/>
    <n v="32854.5"/>
    <n v="2949078"/>
    <m/>
    <m/>
    <m/>
    <x v="0"/>
    <x v="1"/>
  </r>
  <r>
    <d v="2020-05-29T00:00:00"/>
    <x v="4"/>
    <n v="35346"/>
    <n v="3258054"/>
    <m/>
    <m/>
    <m/>
    <x v="0"/>
    <x v="0"/>
  </r>
  <r>
    <d v="2020-05-27T00:00:00"/>
    <x v="5"/>
    <n v="286558.5"/>
    <n v="29256993"/>
    <m/>
    <m/>
    <m/>
    <x v="0"/>
    <x v="0"/>
  </r>
  <r>
    <d v="2020-05-22T00:00:00"/>
    <x v="5"/>
    <n v="304092"/>
    <n v="29465769"/>
    <m/>
    <m/>
    <m/>
    <x v="0"/>
    <x v="2"/>
  </r>
  <r>
    <d v="2020-06-01T00:00:00"/>
    <x v="5"/>
    <n v="272926.5"/>
    <n v="27770092.5"/>
    <m/>
    <m/>
    <m/>
    <x v="0"/>
    <x v="5"/>
  </r>
  <r>
    <d v="2020-05-11T00:00:00"/>
    <x v="5"/>
    <n v="237099"/>
    <n v="24628233.223949999"/>
    <m/>
    <m/>
    <m/>
    <x v="0"/>
    <x v="1"/>
  </r>
  <r>
    <d v="2020-05-18T00:00:00"/>
    <x v="5"/>
    <n v="273900"/>
    <n v="27535284.147599999"/>
    <m/>
    <m/>
    <m/>
    <x v="0"/>
    <x v="2"/>
  </r>
  <r>
    <d v="2020-05-14T00:00:00"/>
    <x v="5"/>
    <n v="274059"/>
    <n v="28181292"/>
    <m/>
    <m/>
    <m/>
    <x v="0"/>
    <x v="1"/>
  </r>
  <r>
    <d v="2020-05-15T00:00:00"/>
    <x v="5"/>
    <n v="318816"/>
    <n v="32354331"/>
    <m/>
    <m/>
    <m/>
    <x v="0"/>
    <x v="1"/>
  </r>
  <r>
    <d v="2020-05-27T00:00:00"/>
    <x v="6"/>
    <n v="370012.5"/>
    <n v="39034861.5"/>
    <m/>
    <m/>
    <m/>
    <x v="0"/>
    <x v="0"/>
  </r>
  <r>
    <d v="2020-05-22T00:00:00"/>
    <x v="6"/>
    <n v="393018"/>
    <n v="39498373.5"/>
    <m/>
    <m/>
    <m/>
    <x v="0"/>
    <x v="2"/>
  </r>
  <r>
    <d v="2020-06-01T00:00:00"/>
    <x v="6"/>
    <n v="349699.5"/>
    <n v="37257840.18135"/>
    <m/>
    <m/>
    <m/>
    <x v="0"/>
    <x v="5"/>
  </r>
  <r>
    <d v="2020-05-11T00:00:00"/>
    <x v="6"/>
    <n v="318565.5"/>
    <n v="33781581"/>
    <m/>
    <m/>
    <m/>
    <x v="0"/>
    <x v="1"/>
  </r>
  <r>
    <d v="2020-05-29T00:00:00"/>
    <x v="5"/>
    <n v="422965.5"/>
    <n v="41767140.104999997"/>
    <m/>
    <m/>
    <m/>
    <x v="0"/>
    <x v="0"/>
  </r>
  <r>
    <d v="2020-05-18T00:00:00"/>
    <x v="6"/>
    <n v="355081.5"/>
    <n v="36876888"/>
    <m/>
    <m/>
    <m/>
    <x v="0"/>
    <x v="2"/>
  </r>
  <r>
    <d v="2020-05-14T00:00:00"/>
    <x v="6"/>
    <n v="358387.5"/>
    <n v="37963150.5"/>
    <m/>
    <m/>
    <m/>
    <x v="0"/>
    <x v="1"/>
  </r>
  <r>
    <d v="2020-05-15T00:00:00"/>
    <x v="6"/>
    <n v="403261.5"/>
    <n v="42271377"/>
    <m/>
    <m/>
    <m/>
    <x v="0"/>
    <x v="1"/>
  </r>
  <r>
    <d v="2020-05-27T00:00:00"/>
    <x v="7"/>
    <n v="69010.5"/>
    <n v="5985894"/>
    <m/>
    <m/>
    <m/>
    <x v="0"/>
    <x v="0"/>
  </r>
  <r>
    <d v="2020-05-22T00:00:00"/>
    <x v="7"/>
    <n v="75820.5"/>
    <n v="5943489"/>
    <m/>
    <m/>
    <m/>
    <x v="0"/>
    <x v="2"/>
  </r>
  <r>
    <d v="2020-06-01T00:00:00"/>
    <x v="7"/>
    <n v="64740"/>
    <n v="5800290"/>
    <m/>
    <m/>
    <m/>
    <x v="0"/>
    <x v="5"/>
  </r>
  <r>
    <d v="2020-05-11T00:00:00"/>
    <x v="7"/>
    <n v="59574"/>
    <n v="5178169.5"/>
    <m/>
    <m/>
    <m/>
    <x v="0"/>
    <x v="1"/>
  </r>
  <r>
    <d v="2020-05-29T00:00:00"/>
    <x v="6"/>
    <n v="524481"/>
    <n v="54172029"/>
    <m/>
    <m/>
    <m/>
    <x v="0"/>
    <x v="0"/>
  </r>
  <r>
    <d v="2020-05-18T00:00:00"/>
    <x v="7"/>
    <n v="70278"/>
    <n v="5798476.5"/>
    <m/>
    <m/>
    <m/>
    <x v="0"/>
    <x v="2"/>
  </r>
  <r>
    <d v="2020-05-14T00:00:00"/>
    <x v="7"/>
    <n v="63645"/>
    <n v="5366602.5"/>
    <m/>
    <m/>
    <m/>
    <x v="0"/>
    <x v="1"/>
  </r>
  <r>
    <d v="2020-05-15T00:00:00"/>
    <x v="7"/>
    <n v="75642"/>
    <n v="6293952"/>
    <m/>
    <m/>
    <m/>
    <x v="0"/>
    <x v="1"/>
  </r>
  <r>
    <d v="2020-05-27T00:00:00"/>
    <x v="8"/>
    <n v="40420.5"/>
    <n v="3780852"/>
    <m/>
    <m/>
    <m/>
    <x v="0"/>
    <x v="0"/>
  </r>
  <r>
    <d v="2020-05-22T00:00:00"/>
    <x v="8"/>
    <n v="53838"/>
    <n v="4840833"/>
    <m/>
    <m/>
    <m/>
    <x v="0"/>
    <x v="2"/>
  </r>
  <r>
    <d v="2020-06-01T00:00:00"/>
    <x v="8"/>
    <n v="40528.5"/>
    <n v="3865251"/>
    <m/>
    <m/>
    <m/>
    <x v="0"/>
    <x v="5"/>
  </r>
  <r>
    <d v="2020-05-11T00:00:00"/>
    <x v="8"/>
    <n v="32733"/>
    <n v="3079630.5"/>
    <m/>
    <m/>
    <m/>
    <x v="0"/>
    <x v="1"/>
  </r>
  <r>
    <d v="2020-05-29T00:00:00"/>
    <x v="7"/>
    <n v="84433.5"/>
    <n v="7228395"/>
    <m/>
    <m/>
    <m/>
    <x v="0"/>
    <x v="0"/>
  </r>
  <r>
    <d v="2020-05-18T00:00:00"/>
    <x v="8"/>
    <n v="36655.5"/>
    <n v="3360135"/>
    <m/>
    <m/>
    <m/>
    <x v="0"/>
    <x v="2"/>
  </r>
  <r>
    <d v="2020-05-14T00:00:00"/>
    <x v="8"/>
    <n v="33886.5"/>
    <n v="3166479"/>
    <m/>
    <m/>
    <m/>
    <x v="0"/>
    <x v="1"/>
  </r>
  <r>
    <d v="2020-05-15T00:00:00"/>
    <x v="8"/>
    <n v="41697"/>
    <n v="3772258.5"/>
    <m/>
    <m/>
    <m/>
    <x v="0"/>
    <x v="1"/>
  </r>
  <r>
    <d v="2020-05-29T00:00:00"/>
    <x v="8"/>
    <n v="44569.5"/>
    <n v="4108596"/>
    <m/>
    <m/>
    <m/>
    <x v="0"/>
    <x v="0"/>
  </r>
  <r>
    <d v="2020-05-27T00:00:00"/>
    <x v="9"/>
    <n v="18069"/>
    <n v="1603084.5"/>
    <m/>
    <m/>
    <m/>
    <x v="0"/>
    <x v="0"/>
  </r>
  <r>
    <d v="2020-05-22T00:00:00"/>
    <x v="9"/>
    <n v="21483"/>
    <n v="1774329"/>
    <m/>
    <m/>
    <m/>
    <x v="0"/>
    <x v="2"/>
  </r>
  <r>
    <d v="2020-06-01T00:00:00"/>
    <x v="9"/>
    <n v="16687.5"/>
    <n v="1526608.5"/>
    <m/>
    <m/>
    <m/>
    <x v="0"/>
    <x v="5"/>
  </r>
  <r>
    <d v="2020-05-11T00:00:00"/>
    <x v="9"/>
    <n v="12238.5"/>
    <n v="1096002"/>
    <m/>
    <m/>
    <m/>
    <x v="0"/>
    <x v="1"/>
  </r>
  <r>
    <d v="2020-05-18T00:00:00"/>
    <x v="9"/>
    <n v="14290.5"/>
    <n v="1246162.5"/>
    <m/>
    <m/>
    <m/>
    <x v="0"/>
    <x v="2"/>
  </r>
  <r>
    <d v="2020-05-14T00:00:00"/>
    <x v="9"/>
    <n v="14385"/>
    <n v="1223491.5"/>
    <m/>
    <m/>
    <m/>
    <x v="0"/>
    <x v="1"/>
  </r>
  <r>
    <d v="2020-05-15T00:00:00"/>
    <x v="9"/>
    <n v="16498.5"/>
    <n v="1370482.5"/>
    <m/>
    <m/>
    <m/>
    <x v="0"/>
    <x v="1"/>
  </r>
  <r>
    <d v="2020-05-27T00:00:00"/>
    <x v="10"/>
    <n v="13203"/>
    <n v="1211457"/>
    <m/>
    <m/>
    <m/>
    <x v="0"/>
    <x v="0"/>
  </r>
  <r>
    <d v="2020-05-22T00:00:00"/>
    <x v="10"/>
    <n v="15802.5"/>
    <n v="1411909.5"/>
    <m/>
    <m/>
    <m/>
    <x v="0"/>
    <x v="2"/>
  </r>
  <r>
    <d v="2020-06-01T00:00:00"/>
    <x v="10"/>
    <n v="16476"/>
    <n v="1565632.5"/>
    <m/>
    <m/>
    <m/>
    <x v="0"/>
    <x v="5"/>
  </r>
  <r>
    <d v="2020-05-11T00:00:00"/>
    <x v="10"/>
    <n v="12654"/>
    <n v="1081158"/>
    <m/>
    <m/>
    <m/>
    <x v="0"/>
    <x v="1"/>
  </r>
  <r>
    <d v="2020-05-29T00:00:00"/>
    <x v="9"/>
    <n v="19647"/>
    <n v="1764669"/>
    <m/>
    <m/>
    <m/>
    <x v="0"/>
    <x v="0"/>
  </r>
  <r>
    <d v="2020-05-18T00:00:00"/>
    <x v="10"/>
    <n v="12450"/>
    <n v="1115146.5"/>
    <m/>
    <m/>
    <m/>
    <x v="0"/>
    <x v="2"/>
  </r>
  <r>
    <d v="2020-05-14T00:00:00"/>
    <x v="10"/>
    <n v="11161.5"/>
    <n v="963502.5"/>
    <m/>
    <m/>
    <m/>
    <x v="0"/>
    <x v="1"/>
  </r>
  <r>
    <d v="2020-05-15T00:00:00"/>
    <x v="10"/>
    <n v="12229.5"/>
    <n v="1122730.5"/>
    <m/>
    <m/>
    <m/>
    <x v="0"/>
    <x v="1"/>
  </r>
  <r>
    <d v="2020-05-27T00:00:00"/>
    <x v="11"/>
    <n v="28050"/>
    <n v="2458555.5"/>
    <m/>
    <m/>
    <m/>
    <x v="0"/>
    <x v="0"/>
  </r>
  <r>
    <d v="2020-05-22T00:00:00"/>
    <x v="11"/>
    <n v="30781.5"/>
    <n v="2540715"/>
    <m/>
    <m/>
    <m/>
    <x v="0"/>
    <x v="2"/>
  </r>
  <r>
    <d v="2020-06-01T00:00:00"/>
    <x v="11"/>
    <n v="27960"/>
    <n v="2538967.5"/>
    <m/>
    <m/>
    <m/>
    <x v="0"/>
    <x v="5"/>
  </r>
  <r>
    <d v="2020-05-11T00:00:00"/>
    <x v="11"/>
    <n v="23629.5"/>
    <n v="2164365"/>
    <m/>
    <m/>
    <m/>
    <x v="0"/>
    <x v="1"/>
  </r>
  <r>
    <d v="2020-05-29T00:00:00"/>
    <x v="10"/>
    <n v="17052"/>
    <n v="1549020"/>
    <m/>
    <m/>
    <m/>
    <x v="0"/>
    <x v="0"/>
  </r>
  <r>
    <d v="2020-05-18T00:00:00"/>
    <x v="11"/>
    <n v="27181.5"/>
    <n v="2324490"/>
    <m/>
    <m/>
    <m/>
    <x v="0"/>
    <x v="2"/>
  </r>
  <r>
    <d v="2020-05-14T00:00:00"/>
    <x v="11"/>
    <n v="25656"/>
    <n v="2225341.5"/>
    <m/>
    <m/>
    <m/>
    <x v="0"/>
    <x v="1"/>
  </r>
  <r>
    <d v="2020-05-15T00:00:00"/>
    <x v="11"/>
    <n v="29283"/>
    <n v="2477487"/>
    <m/>
    <m/>
    <m/>
    <x v="0"/>
    <x v="1"/>
  </r>
  <r>
    <d v="2020-05-29T00:00:00"/>
    <x v="11"/>
    <n v="32782.5"/>
    <n v="2854741.5"/>
    <m/>
    <m/>
    <m/>
    <x v="0"/>
    <x v="0"/>
  </r>
  <r>
    <d v="2020-05-27T00:00:00"/>
    <x v="12"/>
    <n v="215592"/>
    <n v="22342300.5"/>
    <m/>
    <m/>
    <m/>
    <x v="0"/>
    <x v="0"/>
  </r>
  <r>
    <d v="2020-05-22T00:00:00"/>
    <x v="12"/>
    <n v="228334.5"/>
    <n v="22380772.5"/>
    <m/>
    <m/>
    <m/>
    <x v="0"/>
    <x v="2"/>
  </r>
  <r>
    <d v="2020-06-01T00:00:00"/>
    <x v="12"/>
    <n v="188776.5"/>
    <n v="19465372.5"/>
    <m/>
    <m/>
    <m/>
    <x v="0"/>
    <x v="5"/>
  </r>
  <r>
    <d v="2020-05-11T00:00:00"/>
    <x v="12"/>
    <n v="175293"/>
    <n v="17919144"/>
    <m/>
    <m/>
    <m/>
    <x v="0"/>
    <x v="1"/>
  </r>
  <r>
    <d v="2020-05-18T00:00:00"/>
    <x v="12"/>
    <n v="201999"/>
    <n v="20422435.5"/>
    <m/>
    <m/>
    <m/>
    <x v="0"/>
    <x v="2"/>
  </r>
  <r>
    <d v="2020-05-14T00:00:00"/>
    <x v="12"/>
    <n v="197946"/>
    <n v="19942435.5"/>
    <m/>
    <m/>
    <m/>
    <x v="0"/>
    <x v="1"/>
  </r>
  <r>
    <d v="2020-05-15T00:00:00"/>
    <x v="12"/>
    <n v="230896.5"/>
    <n v="23085222"/>
    <m/>
    <m/>
    <m/>
    <x v="0"/>
    <x v="1"/>
  </r>
  <r>
    <d v="2020-05-27T00:00:00"/>
    <x v="13"/>
    <n v="203532"/>
    <n v="20953324.5"/>
    <m/>
    <m/>
    <m/>
    <x v="0"/>
    <x v="0"/>
  </r>
  <r>
    <d v="2020-05-22T00:00:00"/>
    <x v="13"/>
    <n v="214428"/>
    <n v="20812585.5"/>
    <m/>
    <m/>
    <m/>
    <x v="0"/>
    <x v="2"/>
  </r>
  <r>
    <d v="2020-06-01T00:00:00"/>
    <x v="13"/>
    <n v="183228"/>
    <n v="18914194.5"/>
    <m/>
    <m/>
    <m/>
    <x v="0"/>
    <x v="5"/>
  </r>
  <r>
    <d v="2020-05-11T00:00:00"/>
    <x v="13"/>
    <n v="166948.5"/>
    <n v="16971231"/>
    <m/>
    <m/>
    <m/>
    <x v="0"/>
    <x v="1"/>
  </r>
  <r>
    <d v="2020-05-29T00:00:00"/>
    <x v="12"/>
    <n v="232102.5"/>
    <n v="23120443.5"/>
    <m/>
    <m/>
    <m/>
    <x v="0"/>
    <x v="0"/>
  </r>
  <r>
    <d v="2020-05-18T00:00:00"/>
    <x v="13"/>
    <n v="196560"/>
    <n v="19855122"/>
    <m/>
    <m/>
    <m/>
    <x v="0"/>
    <x v="2"/>
  </r>
  <r>
    <d v="2020-05-14T00:00:00"/>
    <x v="13"/>
    <n v="186496.5"/>
    <n v="18640998"/>
    <m/>
    <m/>
    <m/>
    <x v="0"/>
    <x v="1"/>
  </r>
  <r>
    <d v="2020-05-15T00:00:00"/>
    <x v="13"/>
    <n v="219772.5"/>
    <n v="21895294.5"/>
    <m/>
    <m/>
    <m/>
    <x v="0"/>
    <x v="1"/>
  </r>
  <r>
    <d v="2020-05-29T00:00:00"/>
    <x v="13"/>
    <n v="226476"/>
    <n v="22416151.5"/>
    <m/>
    <m/>
    <m/>
    <x v="0"/>
    <x v="0"/>
  </r>
  <r>
    <d v="2020-05-27T00:00:00"/>
    <x v="15"/>
    <n v="8362.5"/>
    <n v="687684"/>
    <m/>
    <m/>
    <m/>
    <x v="0"/>
    <x v="0"/>
  </r>
  <r>
    <d v="2020-05-22T00:00:00"/>
    <x v="14"/>
    <n v="17008.5"/>
    <n v="1398771"/>
    <m/>
    <m/>
    <m/>
    <x v="0"/>
    <x v="2"/>
  </r>
  <r>
    <d v="2020-06-01T00:00:00"/>
    <x v="16"/>
    <n v="5166"/>
    <n v="389013"/>
    <m/>
    <m/>
    <m/>
    <x v="0"/>
    <x v="5"/>
  </r>
  <r>
    <d v="2020-05-11T00:00:00"/>
    <x v="14"/>
    <n v="10941"/>
    <n v="880356"/>
    <m/>
    <m/>
    <m/>
    <x v="0"/>
    <x v="1"/>
  </r>
  <r>
    <d v="2020-05-18T00:00:00"/>
    <x v="14"/>
    <n v="14497.5"/>
    <n v="1230711"/>
    <m/>
    <m/>
    <m/>
    <x v="0"/>
    <x v="2"/>
  </r>
  <r>
    <d v="2020-05-14T00:00:00"/>
    <x v="14"/>
    <n v="13810.5"/>
    <n v="1131676.5"/>
    <m/>
    <m/>
    <m/>
    <x v="0"/>
    <x v="1"/>
  </r>
  <r>
    <d v="2020-05-15T00:00:00"/>
    <x v="14"/>
    <n v="13752"/>
    <n v="1091040"/>
    <m/>
    <m/>
    <m/>
    <x v="0"/>
    <x v="1"/>
  </r>
  <r>
    <d v="2020-05-27T00:00:00"/>
    <x v="14"/>
    <n v="15276"/>
    <n v="1350199.5"/>
    <m/>
    <m/>
    <m/>
    <x v="0"/>
    <x v="0"/>
  </r>
  <r>
    <d v="2020-06-01T00:00:00"/>
    <x v="17"/>
    <n v="4408.5"/>
    <n v="410892"/>
    <m/>
    <m/>
    <m/>
    <x v="0"/>
    <x v="5"/>
  </r>
  <r>
    <d v="2020-05-29T00:00:00"/>
    <x v="15"/>
    <n v="9927"/>
    <n v="850840.5"/>
    <m/>
    <m/>
    <m/>
    <x v="0"/>
    <x v="0"/>
  </r>
  <r>
    <d v="2020-06-01T00:00:00"/>
    <x v="15"/>
    <n v="9474"/>
    <n v="802447.5"/>
    <m/>
    <m/>
    <m/>
    <x v="0"/>
    <x v="5"/>
  </r>
  <r>
    <d v="2020-05-29T00:00:00"/>
    <x v="14"/>
    <n v="16878"/>
    <n v="1438255.5"/>
    <m/>
    <m/>
    <m/>
    <x v="0"/>
    <x v="0"/>
  </r>
  <r>
    <d v="2020-06-01T00:00:00"/>
    <x v="14"/>
    <n v="14238"/>
    <n v="1293219"/>
    <m/>
    <m/>
    <m/>
    <x v="0"/>
    <x v="5"/>
  </r>
  <r>
    <d v="2020-04-28T00:00:00"/>
    <x v="7"/>
    <m/>
    <m/>
    <n v="36"/>
    <n v="4923"/>
    <n v="4560"/>
    <x v="0"/>
    <x v="4"/>
  </r>
  <r>
    <d v="2020-04-28T00:00:00"/>
    <x v="2"/>
    <m/>
    <m/>
    <n v="31"/>
    <n v="5465"/>
    <n v="5096"/>
    <x v="0"/>
    <x v="4"/>
  </r>
  <r>
    <d v="2020-04-28T00:00:00"/>
    <x v="8"/>
    <m/>
    <m/>
    <n v="19"/>
    <n v="1846"/>
    <n v="1681"/>
    <x v="0"/>
    <x v="4"/>
  </r>
  <r>
    <d v="2020-04-28T00:00:00"/>
    <x v="1"/>
    <m/>
    <m/>
    <n v="18"/>
    <n v="1539"/>
    <n v="1404"/>
    <x v="0"/>
    <x v="4"/>
  </r>
  <r>
    <d v="2020-04-28T00:00:00"/>
    <x v="11"/>
    <m/>
    <m/>
    <n v="18"/>
    <n v="1505"/>
    <n v="1368"/>
    <x v="0"/>
    <x v="4"/>
  </r>
  <r>
    <d v="2020-04-28T00:00:00"/>
    <x v="13"/>
    <m/>
    <m/>
    <n v="54"/>
    <n v="12306"/>
    <n v="11532"/>
    <x v="0"/>
    <x v="4"/>
  </r>
  <r>
    <d v="2020-04-28T00:00:00"/>
    <x v="12"/>
    <m/>
    <m/>
    <n v="59"/>
    <n v="12943"/>
    <n v="12072"/>
    <x v="0"/>
    <x v="4"/>
  </r>
  <r>
    <d v="2020-04-28T00:00:00"/>
    <x v="4"/>
    <m/>
    <m/>
    <n v="17"/>
    <n v="1439"/>
    <n v="1265"/>
    <x v="0"/>
    <x v="4"/>
  </r>
  <r>
    <d v="2020-04-28T00:00:00"/>
    <x v="14"/>
    <m/>
    <m/>
    <n v="15"/>
    <n v="636"/>
    <n v="547"/>
    <x v="0"/>
    <x v="4"/>
  </r>
  <r>
    <d v="2020-04-28T00:00:00"/>
    <x v="9"/>
    <m/>
    <m/>
    <n v="15"/>
    <n v="780"/>
    <n v="690"/>
    <x v="0"/>
    <x v="4"/>
  </r>
  <r>
    <d v="2020-04-28T00:00:00"/>
    <x v="6"/>
    <m/>
    <m/>
    <n v="125"/>
    <n v="20914"/>
    <n v="19479"/>
    <x v="0"/>
    <x v="4"/>
  </r>
  <r>
    <d v="2020-04-28T00:00:00"/>
    <x v="5"/>
    <m/>
    <m/>
    <n v="128"/>
    <n v="16450"/>
    <n v="15320"/>
    <x v="0"/>
    <x v="4"/>
  </r>
  <r>
    <d v="2020-04-28T00:00:00"/>
    <x v="3"/>
    <m/>
    <m/>
    <n v="10"/>
    <n v="580"/>
    <n v="506"/>
    <x v="0"/>
    <x v="4"/>
  </r>
  <r>
    <d v="2020-04-29T00:00:00"/>
    <x v="7"/>
    <m/>
    <m/>
    <n v="36"/>
    <n v="4937"/>
    <n v="4561"/>
    <x v="0"/>
    <x v="4"/>
  </r>
  <r>
    <d v="2020-04-29T00:00:00"/>
    <x v="2"/>
    <m/>
    <m/>
    <n v="31"/>
    <n v="5378"/>
    <n v="4985"/>
    <x v="0"/>
    <x v="4"/>
  </r>
  <r>
    <d v="2020-04-29T00:00:00"/>
    <x v="8"/>
    <m/>
    <m/>
    <n v="19"/>
    <n v="1676"/>
    <n v="1516"/>
    <x v="0"/>
    <x v="4"/>
  </r>
  <r>
    <d v="2020-04-29T00:00:00"/>
    <x v="1"/>
    <m/>
    <m/>
    <n v="18"/>
    <n v="1684"/>
    <n v="1528"/>
    <x v="0"/>
    <x v="4"/>
  </r>
  <r>
    <d v="2020-04-29T00:00:00"/>
    <x v="11"/>
    <m/>
    <m/>
    <n v="18"/>
    <n v="1599"/>
    <n v="1450"/>
    <x v="0"/>
    <x v="4"/>
  </r>
  <r>
    <d v="2020-04-29T00:00:00"/>
    <x v="13"/>
    <m/>
    <m/>
    <n v="54"/>
    <n v="12747"/>
    <n v="11884"/>
    <x v="0"/>
    <x v="4"/>
  </r>
  <r>
    <d v="2020-04-29T00:00:00"/>
    <x v="12"/>
    <m/>
    <m/>
    <n v="59"/>
    <n v="13186"/>
    <n v="12251"/>
    <x v="0"/>
    <x v="4"/>
  </r>
  <r>
    <d v="2020-04-29T00:00:00"/>
    <x v="4"/>
    <m/>
    <m/>
    <n v="18"/>
    <n v="1534"/>
    <n v="1369"/>
    <x v="0"/>
    <x v="4"/>
  </r>
  <r>
    <d v="2020-04-29T00:00:00"/>
    <x v="14"/>
    <m/>
    <m/>
    <n v="15"/>
    <n v="659"/>
    <n v="575"/>
    <x v="0"/>
    <x v="4"/>
  </r>
  <r>
    <d v="2020-04-29T00:00:00"/>
    <x v="9"/>
    <m/>
    <m/>
    <n v="15"/>
    <n v="786"/>
    <n v="695"/>
    <x v="0"/>
    <x v="4"/>
  </r>
  <r>
    <d v="2020-04-29T00:00:00"/>
    <x v="6"/>
    <m/>
    <m/>
    <n v="125"/>
    <n v="21863"/>
    <n v="20160"/>
    <x v="0"/>
    <x v="4"/>
  </r>
  <r>
    <d v="2020-04-29T00:00:00"/>
    <x v="5"/>
    <m/>
    <m/>
    <n v="128"/>
    <n v="17368"/>
    <n v="16077"/>
    <x v="0"/>
    <x v="4"/>
  </r>
  <r>
    <d v="2020-04-29T00:00:00"/>
    <x v="3"/>
    <m/>
    <m/>
    <n v="10"/>
    <n v="502"/>
    <n v="433"/>
    <x v="0"/>
    <x v="4"/>
  </r>
  <r>
    <d v="2020-04-30T00:00:00"/>
    <x v="7"/>
    <m/>
    <m/>
    <n v="36"/>
    <n v="5143"/>
    <n v="4715"/>
    <x v="0"/>
    <x v="4"/>
  </r>
  <r>
    <d v="2020-04-30T00:00:00"/>
    <x v="2"/>
    <m/>
    <m/>
    <n v="31"/>
    <n v="5120"/>
    <n v="4737"/>
    <x v="0"/>
    <x v="4"/>
  </r>
  <r>
    <d v="2020-04-30T00:00:00"/>
    <x v="8"/>
    <m/>
    <m/>
    <n v="20"/>
    <n v="1756"/>
    <n v="1586"/>
    <x v="0"/>
    <x v="4"/>
  </r>
  <r>
    <d v="2020-04-30T00:00:00"/>
    <x v="1"/>
    <m/>
    <m/>
    <n v="19"/>
    <n v="1712"/>
    <n v="1552"/>
    <x v="0"/>
    <x v="4"/>
  </r>
  <r>
    <d v="2020-04-30T00:00:00"/>
    <x v="11"/>
    <m/>
    <m/>
    <n v="19"/>
    <n v="1662"/>
    <n v="1506"/>
    <x v="0"/>
    <x v="4"/>
  </r>
  <r>
    <d v="2020-04-30T00:00:00"/>
    <x v="13"/>
    <m/>
    <m/>
    <n v="54"/>
    <n v="12817"/>
    <n v="11865"/>
    <x v="0"/>
    <x v="4"/>
  </r>
  <r>
    <d v="2020-04-30T00:00:00"/>
    <x v="12"/>
    <m/>
    <m/>
    <n v="59"/>
    <n v="13251"/>
    <n v="12255"/>
    <x v="0"/>
    <x v="4"/>
  </r>
  <r>
    <d v="2020-04-30T00:00:00"/>
    <x v="4"/>
    <m/>
    <m/>
    <n v="19"/>
    <n v="1499"/>
    <n v="1322"/>
    <x v="0"/>
    <x v="4"/>
  </r>
  <r>
    <d v="2020-04-30T00:00:00"/>
    <x v="14"/>
    <m/>
    <m/>
    <n v="15"/>
    <n v="644"/>
    <n v="550"/>
    <x v="0"/>
    <x v="4"/>
  </r>
  <r>
    <d v="2020-04-30T00:00:00"/>
    <x v="9"/>
    <m/>
    <m/>
    <n v="15"/>
    <n v="791"/>
    <n v="691"/>
    <x v="0"/>
    <x v="4"/>
  </r>
  <r>
    <d v="2020-04-30T00:00:00"/>
    <x v="10"/>
    <m/>
    <m/>
    <n v="15"/>
    <n v="262"/>
    <n v="195"/>
    <x v="0"/>
    <x v="4"/>
  </r>
  <r>
    <d v="2020-04-30T00:00:00"/>
    <x v="6"/>
    <m/>
    <m/>
    <n v="125"/>
    <n v="22368"/>
    <n v="20625"/>
    <x v="0"/>
    <x v="4"/>
  </r>
  <r>
    <d v="2020-04-30T00:00:00"/>
    <x v="5"/>
    <m/>
    <m/>
    <n v="129"/>
    <n v="18042"/>
    <n v="16631"/>
    <x v="0"/>
    <x v="4"/>
  </r>
  <r>
    <d v="2020-04-30T00:00:00"/>
    <x v="3"/>
    <m/>
    <m/>
    <n v="10"/>
    <n v="448"/>
    <n v="376"/>
    <x v="0"/>
    <x v="4"/>
  </r>
  <r>
    <d v="2020-05-01T00:00:00"/>
    <x v="7"/>
    <m/>
    <m/>
    <n v="36"/>
    <n v="5457"/>
    <n v="4916"/>
    <x v="0"/>
    <x v="4"/>
  </r>
  <r>
    <d v="2020-05-01T00:00:00"/>
    <x v="2"/>
    <m/>
    <m/>
    <n v="31"/>
    <n v="6118"/>
    <n v="5564"/>
    <x v="0"/>
    <x v="4"/>
  </r>
  <r>
    <d v="2020-05-01T00:00:00"/>
    <x v="8"/>
    <m/>
    <m/>
    <n v="20"/>
    <n v="2468"/>
    <n v="2221"/>
    <x v="0"/>
    <x v="4"/>
  </r>
  <r>
    <d v="2020-05-01T00:00:00"/>
    <x v="1"/>
    <m/>
    <m/>
    <n v="18"/>
    <n v="1826"/>
    <n v="1633"/>
    <x v="0"/>
    <x v="4"/>
  </r>
  <r>
    <d v="2020-05-01T00:00:00"/>
    <x v="11"/>
    <m/>
    <m/>
    <n v="19"/>
    <n v="1987"/>
    <n v="1791"/>
    <x v="0"/>
    <x v="4"/>
  </r>
  <r>
    <d v="2020-05-01T00:00:00"/>
    <x v="13"/>
    <m/>
    <m/>
    <n v="54"/>
    <n v="14205"/>
    <n v="13026"/>
    <x v="0"/>
    <x v="4"/>
  </r>
  <r>
    <d v="2020-05-01T00:00:00"/>
    <x v="12"/>
    <m/>
    <m/>
    <n v="59"/>
    <n v="15222"/>
    <n v="13873"/>
    <x v="0"/>
    <x v="4"/>
  </r>
  <r>
    <d v="2020-05-01T00:00:00"/>
    <x v="4"/>
    <m/>
    <m/>
    <n v="19"/>
    <n v="1497"/>
    <n v="1291"/>
    <x v="0"/>
    <x v="4"/>
  </r>
  <r>
    <d v="2020-05-01T00:00:00"/>
    <x v="14"/>
    <m/>
    <m/>
    <n v="15"/>
    <n v="721"/>
    <n v="625"/>
    <x v="0"/>
    <x v="4"/>
  </r>
  <r>
    <d v="2020-05-01T00:00:00"/>
    <x v="9"/>
    <m/>
    <m/>
    <n v="15"/>
    <n v="996"/>
    <n v="888"/>
    <x v="0"/>
    <x v="4"/>
  </r>
  <r>
    <d v="2020-05-01T00:00:00"/>
    <x v="10"/>
    <m/>
    <m/>
    <n v="15"/>
    <n v="294"/>
    <n v="225"/>
    <x v="0"/>
    <x v="4"/>
  </r>
  <r>
    <d v="2020-05-01T00:00:00"/>
    <x v="6"/>
    <m/>
    <m/>
    <n v="125"/>
    <n v="20602"/>
    <n v="18845"/>
    <x v="0"/>
    <x v="4"/>
  </r>
  <r>
    <d v="2020-05-01T00:00:00"/>
    <x v="5"/>
    <m/>
    <m/>
    <n v="129"/>
    <n v="17002"/>
    <n v="15570"/>
    <x v="0"/>
    <x v="4"/>
  </r>
  <r>
    <d v="2020-05-01T00:00:00"/>
    <x v="3"/>
    <m/>
    <m/>
    <n v="10"/>
    <n v="554"/>
    <n v="472"/>
    <x v="0"/>
    <x v="4"/>
  </r>
  <r>
    <d v="2020-05-02T00:00:00"/>
    <x v="7"/>
    <m/>
    <m/>
    <n v="36"/>
    <n v="3442"/>
    <n v="3147"/>
    <x v="0"/>
    <x v="4"/>
  </r>
  <r>
    <d v="2020-05-02T00:00:00"/>
    <x v="2"/>
    <m/>
    <m/>
    <n v="31"/>
    <n v="4157"/>
    <n v="3823"/>
    <x v="0"/>
    <x v="4"/>
  </r>
  <r>
    <d v="2020-05-02T00:00:00"/>
    <x v="8"/>
    <m/>
    <m/>
    <n v="20"/>
    <n v="1613"/>
    <n v="1457"/>
    <x v="0"/>
    <x v="4"/>
  </r>
  <r>
    <d v="2020-05-02T00:00:00"/>
    <x v="1"/>
    <m/>
    <m/>
    <n v="18"/>
    <n v="1708"/>
    <n v="1534"/>
    <x v="0"/>
    <x v="4"/>
  </r>
  <r>
    <d v="2020-05-02T00:00:00"/>
    <x v="11"/>
    <m/>
    <m/>
    <n v="19"/>
    <n v="1206"/>
    <n v="1080"/>
    <x v="0"/>
    <x v="4"/>
  </r>
  <r>
    <d v="2020-05-02T00:00:00"/>
    <x v="13"/>
    <m/>
    <m/>
    <n v="54"/>
    <n v="11622"/>
    <n v="10754"/>
    <x v="0"/>
    <x v="4"/>
  </r>
  <r>
    <d v="2020-05-02T00:00:00"/>
    <x v="12"/>
    <m/>
    <m/>
    <n v="59"/>
    <n v="12429"/>
    <n v="11477"/>
    <x v="0"/>
    <x v="4"/>
  </r>
  <r>
    <d v="2020-05-02T00:00:00"/>
    <x v="4"/>
    <m/>
    <m/>
    <n v="19"/>
    <n v="1217"/>
    <n v="1048"/>
    <x v="0"/>
    <x v="4"/>
  </r>
  <r>
    <d v="2020-05-02T00:00:00"/>
    <x v="14"/>
    <m/>
    <m/>
    <n v="15"/>
    <n v="567"/>
    <n v="493"/>
    <x v="0"/>
    <x v="4"/>
  </r>
  <r>
    <d v="2020-05-02T00:00:00"/>
    <x v="9"/>
    <m/>
    <m/>
    <n v="15"/>
    <n v="751"/>
    <n v="651"/>
    <x v="0"/>
    <x v="4"/>
  </r>
  <r>
    <d v="2020-05-02T00:00:00"/>
    <x v="10"/>
    <m/>
    <m/>
    <n v="15"/>
    <n v="274"/>
    <n v="203"/>
    <x v="0"/>
    <x v="4"/>
  </r>
  <r>
    <d v="2020-05-02T00:00:00"/>
    <x v="6"/>
    <m/>
    <m/>
    <n v="125"/>
    <n v="16932"/>
    <n v="15601"/>
    <x v="0"/>
    <x v="4"/>
  </r>
  <r>
    <d v="2020-05-02T00:00:00"/>
    <x v="5"/>
    <m/>
    <m/>
    <n v="129"/>
    <n v="14009"/>
    <n v="12920"/>
    <x v="0"/>
    <x v="4"/>
  </r>
  <r>
    <d v="2020-05-02T00:00:00"/>
    <x v="3"/>
    <m/>
    <m/>
    <n v="10"/>
    <n v="416"/>
    <n v="341"/>
    <x v="0"/>
    <x v="4"/>
  </r>
  <r>
    <d v="2020-05-03T00:00:00"/>
    <x v="7"/>
    <m/>
    <m/>
    <n v="36"/>
    <n v="4751"/>
    <n v="4370"/>
    <x v="0"/>
    <x v="4"/>
  </r>
  <r>
    <d v="2020-05-03T00:00:00"/>
    <x v="2"/>
    <m/>
    <m/>
    <n v="31"/>
    <n v="5155"/>
    <n v="4762"/>
    <x v="0"/>
    <x v="4"/>
  </r>
  <r>
    <d v="2020-05-03T00:00:00"/>
    <x v="8"/>
    <m/>
    <m/>
    <n v="20"/>
    <n v="1716"/>
    <n v="1561"/>
    <x v="0"/>
    <x v="4"/>
  </r>
  <r>
    <d v="2020-05-03T00:00:00"/>
    <x v="1"/>
    <m/>
    <m/>
    <n v="20"/>
    <n v="1520"/>
    <n v="1373"/>
    <x v="0"/>
    <x v="4"/>
  </r>
  <r>
    <d v="2020-05-03T00:00:00"/>
    <x v="11"/>
    <m/>
    <m/>
    <n v="19"/>
    <n v="1314"/>
    <n v="1192"/>
    <x v="0"/>
    <x v="4"/>
  </r>
  <r>
    <d v="2020-05-03T00:00:00"/>
    <x v="13"/>
    <m/>
    <m/>
    <n v="54"/>
    <n v="14823"/>
    <n v="13751"/>
    <x v="0"/>
    <x v="4"/>
  </r>
  <r>
    <d v="2020-05-03T00:00:00"/>
    <x v="12"/>
    <m/>
    <m/>
    <n v="59"/>
    <n v="15277"/>
    <n v="14163"/>
    <x v="0"/>
    <x v="4"/>
  </r>
  <r>
    <d v="2020-05-03T00:00:00"/>
    <x v="4"/>
    <m/>
    <m/>
    <n v="19"/>
    <n v="1402"/>
    <n v="1234"/>
    <x v="0"/>
    <x v="4"/>
  </r>
  <r>
    <d v="2020-05-03T00:00:00"/>
    <x v="14"/>
    <m/>
    <m/>
    <n v="15"/>
    <n v="585"/>
    <n v="502"/>
    <x v="0"/>
    <x v="4"/>
  </r>
  <r>
    <d v="2020-05-03T00:00:00"/>
    <x v="9"/>
    <m/>
    <m/>
    <n v="15"/>
    <n v="784"/>
    <n v="696"/>
    <x v="0"/>
    <x v="4"/>
  </r>
  <r>
    <d v="2020-05-03T00:00:00"/>
    <x v="10"/>
    <m/>
    <m/>
    <n v="15"/>
    <n v="455"/>
    <n v="384"/>
    <x v="0"/>
    <x v="4"/>
  </r>
  <r>
    <d v="2020-05-03T00:00:00"/>
    <x v="6"/>
    <m/>
    <m/>
    <n v="125"/>
    <n v="18861"/>
    <n v="17420"/>
    <x v="0"/>
    <x v="4"/>
  </r>
  <r>
    <d v="2020-05-03T00:00:00"/>
    <x v="5"/>
    <m/>
    <m/>
    <n v="129"/>
    <n v="15778"/>
    <n v="14624"/>
    <x v="0"/>
    <x v="4"/>
  </r>
  <r>
    <d v="2020-05-03T00:00:00"/>
    <x v="3"/>
    <m/>
    <m/>
    <n v="10"/>
    <n v="402"/>
    <n v="333"/>
    <x v="0"/>
    <x v="4"/>
  </r>
  <r>
    <d v="2020-05-04T00:00:00"/>
    <x v="7"/>
    <m/>
    <m/>
    <n v="36"/>
    <n v="4508"/>
    <n v="4149"/>
    <x v="0"/>
    <x v="3"/>
  </r>
  <r>
    <d v="2020-05-04T00:00:00"/>
    <x v="2"/>
    <m/>
    <m/>
    <n v="31"/>
    <n v="4968"/>
    <n v="4596"/>
    <x v="0"/>
    <x v="3"/>
  </r>
  <r>
    <d v="2020-05-04T00:00:00"/>
    <x v="8"/>
    <m/>
    <m/>
    <n v="20"/>
    <n v="1804"/>
    <n v="1638"/>
    <x v="0"/>
    <x v="3"/>
  </r>
  <r>
    <d v="2020-05-04T00:00:00"/>
    <x v="1"/>
    <m/>
    <m/>
    <n v="20"/>
    <n v="1519"/>
    <n v="1372"/>
    <x v="0"/>
    <x v="3"/>
  </r>
  <r>
    <d v="2020-05-04T00:00:00"/>
    <x v="11"/>
    <m/>
    <m/>
    <n v="19"/>
    <n v="1479"/>
    <n v="1346"/>
    <x v="0"/>
    <x v="3"/>
  </r>
  <r>
    <d v="2020-05-04T00:00:00"/>
    <x v="13"/>
    <m/>
    <m/>
    <n v="54"/>
    <n v="13606"/>
    <n v="12697"/>
    <x v="0"/>
    <x v="3"/>
  </r>
  <r>
    <d v="2020-05-04T00:00:00"/>
    <x v="12"/>
    <m/>
    <m/>
    <n v="59"/>
    <n v="14423"/>
    <n v="13432"/>
    <x v="0"/>
    <x v="3"/>
  </r>
  <r>
    <d v="2020-05-04T00:00:00"/>
    <x v="4"/>
    <m/>
    <m/>
    <n v="19"/>
    <n v="1582"/>
    <n v="1403"/>
    <x v="0"/>
    <x v="3"/>
  </r>
  <r>
    <d v="2020-05-04T00:00:00"/>
    <x v="14"/>
    <m/>
    <m/>
    <n v="15"/>
    <n v="622"/>
    <n v="538"/>
    <x v="0"/>
    <x v="3"/>
  </r>
  <r>
    <d v="2020-05-04T00:00:00"/>
    <x v="9"/>
    <m/>
    <m/>
    <n v="15"/>
    <n v="750"/>
    <n v="647"/>
    <x v="0"/>
    <x v="3"/>
  </r>
  <r>
    <d v="2020-05-04T00:00:00"/>
    <x v="10"/>
    <m/>
    <m/>
    <n v="15"/>
    <n v="390"/>
    <n v="315"/>
    <x v="0"/>
    <x v="3"/>
  </r>
  <r>
    <d v="2020-05-04T00:00:00"/>
    <x v="6"/>
    <m/>
    <m/>
    <n v="125"/>
    <n v="20495"/>
    <n v="18964"/>
    <x v="0"/>
    <x v="3"/>
  </r>
  <r>
    <d v="2020-05-04T00:00:00"/>
    <x v="5"/>
    <m/>
    <m/>
    <n v="129"/>
    <n v="16525"/>
    <n v="15310"/>
    <x v="0"/>
    <x v="3"/>
  </r>
  <r>
    <d v="2020-05-04T00:00:00"/>
    <x v="3"/>
    <m/>
    <m/>
    <n v="10"/>
    <n v="462"/>
    <n v="396"/>
    <x v="0"/>
    <x v="3"/>
  </r>
  <r>
    <d v="2020-05-05T00:00:00"/>
    <x v="7"/>
    <m/>
    <m/>
    <n v="36"/>
    <n v="4575"/>
    <n v="4206"/>
    <x v="0"/>
    <x v="3"/>
  </r>
  <r>
    <d v="2020-05-05T00:00:00"/>
    <x v="2"/>
    <m/>
    <m/>
    <n v="31"/>
    <n v="5188"/>
    <n v="4800"/>
    <x v="0"/>
    <x v="3"/>
  </r>
  <r>
    <d v="2020-05-05T00:00:00"/>
    <x v="8"/>
    <m/>
    <m/>
    <n v="20"/>
    <n v="1757"/>
    <n v="1596"/>
    <x v="0"/>
    <x v="3"/>
  </r>
  <r>
    <d v="2020-05-05T00:00:00"/>
    <x v="1"/>
    <m/>
    <m/>
    <n v="20"/>
    <n v="1773"/>
    <n v="1604"/>
    <x v="0"/>
    <x v="3"/>
  </r>
  <r>
    <d v="2020-05-05T00:00:00"/>
    <x v="11"/>
    <m/>
    <m/>
    <n v="19"/>
    <n v="1622"/>
    <n v="1482"/>
    <x v="0"/>
    <x v="3"/>
  </r>
  <r>
    <d v="2020-05-05T00:00:00"/>
    <x v="13"/>
    <m/>
    <m/>
    <n v="54"/>
    <n v="12775"/>
    <n v="11887"/>
    <x v="0"/>
    <x v="3"/>
  </r>
  <r>
    <d v="2020-05-05T00:00:00"/>
    <x v="12"/>
    <m/>
    <m/>
    <n v="59"/>
    <n v="13469"/>
    <n v="12486"/>
    <x v="0"/>
    <x v="3"/>
  </r>
  <r>
    <d v="2020-05-05T00:00:00"/>
    <x v="4"/>
    <m/>
    <m/>
    <n v="19"/>
    <n v="1417"/>
    <n v="1245"/>
    <x v="0"/>
    <x v="3"/>
  </r>
  <r>
    <d v="2020-05-05T00:00:00"/>
    <x v="14"/>
    <m/>
    <m/>
    <n v="15"/>
    <n v="750"/>
    <n v="658"/>
    <x v="0"/>
    <x v="3"/>
  </r>
  <r>
    <d v="2020-05-05T00:00:00"/>
    <x v="9"/>
    <m/>
    <m/>
    <n v="15"/>
    <n v="922"/>
    <n v="823"/>
    <x v="0"/>
    <x v="3"/>
  </r>
  <r>
    <d v="2020-05-05T00:00:00"/>
    <x v="10"/>
    <m/>
    <m/>
    <n v="15"/>
    <n v="455"/>
    <n v="381"/>
    <x v="0"/>
    <x v="3"/>
  </r>
  <r>
    <d v="2020-05-05T00:00:00"/>
    <x v="6"/>
    <m/>
    <m/>
    <n v="125"/>
    <n v="18944"/>
    <n v="17541"/>
    <x v="0"/>
    <x v="3"/>
  </r>
  <r>
    <d v="2020-05-05T00:00:00"/>
    <x v="5"/>
    <m/>
    <m/>
    <n v="129"/>
    <n v="15665"/>
    <n v="14501"/>
    <x v="0"/>
    <x v="3"/>
  </r>
  <r>
    <d v="2020-05-05T00:00:00"/>
    <x v="3"/>
    <m/>
    <m/>
    <n v="10"/>
    <n v="511"/>
    <n v="437"/>
    <x v="0"/>
    <x v="3"/>
  </r>
  <r>
    <d v="2020-05-06T00:00:00"/>
    <x v="7"/>
    <m/>
    <m/>
    <n v="36"/>
    <n v="4384"/>
    <n v="4025"/>
    <x v="0"/>
    <x v="3"/>
  </r>
  <r>
    <d v="2020-05-06T00:00:00"/>
    <x v="2"/>
    <m/>
    <m/>
    <n v="31"/>
    <n v="4709"/>
    <n v="4348"/>
    <x v="0"/>
    <x v="3"/>
  </r>
  <r>
    <d v="2020-05-06T00:00:00"/>
    <x v="8"/>
    <m/>
    <m/>
    <n v="20"/>
    <n v="1747"/>
    <n v="1570"/>
    <x v="0"/>
    <x v="3"/>
  </r>
  <r>
    <d v="2020-05-06T00:00:00"/>
    <x v="1"/>
    <m/>
    <m/>
    <n v="20"/>
    <n v="1784"/>
    <n v="1632"/>
    <x v="0"/>
    <x v="3"/>
  </r>
  <r>
    <d v="2020-05-06T00:00:00"/>
    <x v="11"/>
    <m/>
    <m/>
    <n v="19"/>
    <n v="1509"/>
    <n v="1374"/>
    <x v="0"/>
    <x v="3"/>
  </r>
  <r>
    <d v="2020-05-06T00:00:00"/>
    <x v="13"/>
    <m/>
    <m/>
    <n v="54"/>
    <n v="13406"/>
    <n v="12518"/>
    <x v="0"/>
    <x v="3"/>
  </r>
  <r>
    <d v="2020-05-06T00:00:00"/>
    <x v="12"/>
    <m/>
    <m/>
    <n v="59"/>
    <n v="14103"/>
    <n v="13118"/>
    <x v="0"/>
    <x v="3"/>
  </r>
  <r>
    <d v="2020-05-06T00:00:00"/>
    <x v="4"/>
    <m/>
    <m/>
    <n v="19"/>
    <n v="1499"/>
    <n v="1323"/>
    <x v="0"/>
    <x v="3"/>
  </r>
  <r>
    <d v="2020-05-06T00:00:00"/>
    <x v="14"/>
    <m/>
    <m/>
    <n v="15"/>
    <n v="701"/>
    <n v="611"/>
    <x v="0"/>
    <x v="3"/>
  </r>
  <r>
    <d v="2020-05-06T00:00:00"/>
    <x v="9"/>
    <m/>
    <m/>
    <n v="15"/>
    <n v="839"/>
    <n v="733"/>
    <x v="0"/>
    <x v="3"/>
  </r>
  <r>
    <d v="2020-05-06T00:00:00"/>
    <x v="10"/>
    <m/>
    <m/>
    <n v="15"/>
    <n v="467"/>
    <n v="389"/>
    <x v="0"/>
    <x v="3"/>
  </r>
  <r>
    <d v="2020-05-06T00:00:00"/>
    <x v="6"/>
    <m/>
    <m/>
    <n v="125"/>
    <n v="20218"/>
    <n v="18647"/>
    <x v="0"/>
    <x v="3"/>
  </r>
  <r>
    <d v="2020-05-06T00:00:00"/>
    <x v="5"/>
    <m/>
    <m/>
    <n v="129"/>
    <n v="16376"/>
    <n v="15197"/>
    <x v="0"/>
    <x v="3"/>
  </r>
  <r>
    <d v="2020-05-06T00:00:00"/>
    <x v="3"/>
    <m/>
    <m/>
    <n v="10"/>
    <n v="465"/>
    <n v="390"/>
    <x v="0"/>
    <x v="3"/>
  </r>
  <r>
    <d v="2020-05-07T00:00:00"/>
    <x v="7"/>
    <m/>
    <m/>
    <n v="36"/>
    <n v="4826"/>
    <n v="4426"/>
    <x v="0"/>
    <x v="3"/>
  </r>
  <r>
    <d v="2020-05-07T00:00:00"/>
    <x v="2"/>
    <m/>
    <m/>
    <n v="31"/>
    <n v="4903"/>
    <n v="4527"/>
    <x v="0"/>
    <x v="3"/>
  </r>
  <r>
    <d v="2020-05-07T00:00:00"/>
    <x v="8"/>
    <m/>
    <m/>
    <n v="21"/>
    <n v="1879"/>
    <n v="1695"/>
    <x v="0"/>
    <x v="3"/>
  </r>
  <r>
    <d v="2020-05-07T00:00:00"/>
    <x v="1"/>
    <m/>
    <m/>
    <n v="21"/>
    <n v="1542"/>
    <n v="1405"/>
    <x v="0"/>
    <x v="3"/>
  </r>
  <r>
    <d v="2020-05-07T00:00:00"/>
    <x v="11"/>
    <m/>
    <m/>
    <n v="19"/>
    <n v="1580"/>
    <n v="1435"/>
    <x v="0"/>
    <x v="3"/>
  </r>
  <r>
    <d v="2020-05-07T00:00:00"/>
    <x v="13"/>
    <m/>
    <m/>
    <n v="54"/>
    <n v="12743"/>
    <n v="11858"/>
    <x v="0"/>
    <x v="3"/>
  </r>
  <r>
    <d v="2020-05-07T00:00:00"/>
    <x v="12"/>
    <m/>
    <m/>
    <n v="59"/>
    <n v="13495"/>
    <n v="12517"/>
    <x v="0"/>
    <x v="3"/>
  </r>
  <r>
    <d v="2020-05-07T00:00:00"/>
    <x v="4"/>
    <m/>
    <m/>
    <n v="19"/>
    <n v="1530"/>
    <n v="1338"/>
    <x v="0"/>
    <x v="3"/>
  </r>
  <r>
    <d v="2020-05-07T00:00:00"/>
    <x v="14"/>
    <m/>
    <m/>
    <n v="15"/>
    <n v="676"/>
    <n v="591"/>
    <x v="0"/>
    <x v="3"/>
  </r>
  <r>
    <d v="2020-05-07T00:00:00"/>
    <x v="9"/>
    <m/>
    <m/>
    <n v="15"/>
    <n v="805"/>
    <n v="703"/>
    <x v="0"/>
    <x v="3"/>
  </r>
  <r>
    <d v="2020-05-07T00:00:00"/>
    <x v="10"/>
    <m/>
    <m/>
    <n v="15"/>
    <n v="480"/>
    <n v="398"/>
    <x v="0"/>
    <x v="3"/>
  </r>
  <r>
    <d v="2020-05-07T00:00:00"/>
    <x v="6"/>
    <m/>
    <m/>
    <n v="125"/>
    <n v="18014"/>
    <n v="16675"/>
    <x v="0"/>
    <x v="3"/>
  </r>
  <r>
    <d v="2020-05-07T00:00:00"/>
    <x v="5"/>
    <m/>
    <m/>
    <n v="129"/>
    <n v="14582"/>
    <n v="13512"/>
    <x v="0"/>
    <x v="3"/>
  </r>
  <r>
    <d v="2020-05-07T00:00:00"/>
    <x v="3"/>
    <m/>
    <m/>
    <n v="10"/>
    <n v="563"/>
    <n v="486"/>
    <x v="0"/>
    <x v="3"/>
  </r>
  <r>
    <d v="2020-05-08T00:00:00"/>
    <x v="7"/>
    <m/>
    <m/>
    <n v="36"/>
    <n v="4199"/>
    <n v="3867"/>
    <x v="0"/>
    <x v="3"/>
  </r>
  <r>
    <d v="2020-05-08T00:00:00"/>
    <x v="2"/>
    <m/>
    <m/>
    <n v="31"/>
    <n v="4635"/>
    <n v="4266"/>
    <x v="0"/>
    <x v="3"/>
  </r>
  <r>
    <d v="2020-05-08T00:00:00"/>
    <x v="8"/>
    <m/>
    <m/>
    <n v="21"/>
    <n v="1957"/>
    <n v="1755"/>
    <x v="0"/>
    <x v="3"/>
  </r>
  <r>
    <d v="2020-05-08T00:00:00"/>
    <x v="1"/>
    <m/>
    <m/>
    <n v="21"/>
    <n v="1646"/>
    <n v="1492"/>
    <x v="0"/>
    <x v="3"/>
  </r>
  <r>
    <d v="2020-05-08T00:00:00"/>
    <x v="11"/>
    <m/>
    <m/>
    <n v="19"/>
    <n v="1520"/>
    <n v="1380"/>
    <x v="0"/>
    <x v="3"/>
  </r>
  <r>
    <d v="2020-05-08T00:00:00"/>
    <x v="13"/>
    <m/>
    <m/>
    <n v="54"/>
    <n v="13563"/>
    <n v="12604"/>
    <x v="0"/>
    <x v="3"/>
  </r>
  <r>
    <d v="2020-05-08T00:00:00"/>
    <x v="12"/>
    <m/>
    <m/>
    <n v="59"/>
    <n v="14098"/>
    <n v="13106"/>
    <x v="0"/>
    <x v="3"/>
  </r>
  <r>
    <d v="2020-05-08T00:00:00"/>
    <x v="4"/>
    <m/>
    <m/>
    <n v="19"/>
    <n v="1522"/>
    <n v="1340"/>
    <x v="0"/>
    <x v="3"/>
  </r>
  <r>
    <d v="2020-05-08T00:00:00"/>
    <x v="14"/>
    <m/>
    <m/>
    <n v="15"/>
    <n v="703"/>
    <n v="609"/>
    <x v="0"/>
    <x v="3"/>
  </r>
  <r>
    <d v="2020-05-08T00:00:00"/>
    <x v="9"/>
    <m/>
    <m/>
    <n v="15"/>
    <n v="879"/>
    <n v="768"/>
    <x v="0"/>
    <x v="3"/>
  </r>
  <r>
    <d v="2020-05-08T00:00:00"/>
    <x v="10"/>
    <m/>
    <m/>
    <n v="15"/>
    <n v="492"/>
    <n v="412"/>
    <x v="0"/>
    <x v="3"/>
  </r>
  <r>
    <d v="2020-05-08T00:00:00"/>
    <x v="6"/>
    <m/>
    <m/>
    <n v="125"/>
    <n v="24620"/>
    <n v="22641"/>
    <x v="0"/>
    <x v="3"/>
  </r>
  <r>
    <d v="2020-05-08T00:00:00"/>
    <x v="5"/>
    <m/>
    <m/>
    <n v="129"/>
    <n v="20452"/>
    <n v="18857"/>
    <x v="0"/>
    <x v="3"/>
  </r>
  <r>
    <d v="2020-05-08T00:00:00"/>
    <x v="3"/>
    <m/>
    <m/>
    <n v="10"/>
    <n v="638"/>
    <n v="547"/>
    <x v="0"/>
    <x v="3"/>
  </r>
  <r>
    <d v="2020-05-09T00:00:00"/>
    <x v="7"/>
    <m/>
    <m/>
    <n v="36"/>
    <n v="5413"/>
    <n v="4959"/>
    <x v="0"/>
    <x v="3"/>
  </r>
  <r>
    <d v="2020-05-09T00:00:00"/>
    <x v="2"/>
    <m/>
    <m/>
    <n v="31"/>
    <n v="4556"/>
    <n v="4220"/>
    <x v="0"/>
    <x v="3"/>
  </r>
  <r>
    <d v="2020-05-09T00:00:00"/>
    <x v="8"/>
    <m/>
    <m/>
    <n v="21"/>
    <n v="1891"/>
    <n v="1709"/>
    <x v="0"/>
    <x v="3"/>
  </r>
  <r>
    <d v="2020-05-09T00:00:00"/>
    <x v="1"/>
    <m/>
    <m/>
    <n v="21"/>
    <n v="1735"/>
    <n v="1568"/>
    <x v="0"/>
    <x v="3"/>
  </r>
  <r>
    <d v="2020-05-09T00:00:00"/>
    <x v="11"/>
    <m/>
    <m/>
    <n v="19"/>
    <n v="1542"/>
    <n v="1412"/>
    <x v="0"/>
    <x v="3"/>
  </r>
  <r>
    <d v="2020-05-09T00:00:00"/>
    <x v="13"/>
    <m/>
    <m/>
    <n v="54"/>
    <n v="11288"/>
    <n v="10492"/>
    <x v="0"/>
    <x v="3"/>
  </r>
  <r>
    <d v="2020-05-09T00:00:00"/>
    <x v="12"/>
    <m/>
    <m/>
    <n v="59"/>
    <n v="12016"/>
    <n v="11137"/>
    <x v="0"/>
    <x v="3"/>
  </r>
  <r>
    <d v="2020-05-09T00:00:00"/>
    <x v="4"/>
    <m/>
    <m/>
    <n v="19"/>
    <n v="1851"/>
    <n v="1635"/>
    <x v="0"/>
    <x v="3"/>
  </r>
  <r>
    <d v="2020-05-09T00:00:00"/>
    <x v="14"/>
    <m/>
    <m/>
    <n v="15"/>
    <n v="654"/>
    <n v="570"/>
    <x v="0"/>
    <x v="3"/>
  </r>
  <r>
    <d v="2020-05-09T00:00:00"/>
    <x v="9"/>
    <m/>
    <m/>
    <n v="15"/>
    <n v="849"/>
    <n v="740"/>
    <x v="0"/>
    <x v="3"/>
  </r>
  <r>
    <d v="2020-05-09T00:00:00"/>
    <x v="10"/>
    <m/>
    <m/>
    <n v="15"/>
    <n v="623"/>
    <n v="535"/>
    <x v="0"/>
    <x v="3"/>
  </r>
  <r>
    <d v="2020-05-09T00:00:00"/>
    <x v="6"/>
    <m/>
    <m/>
    <n v="125"/>
    <n v="20132"/>
    <n v="18617"/>
    <x v="0"/>
    <x v="3"/>
  </r>
  <r>
    <d v="2020-05-09T00:00:00"/>
    <x v="5"/>
    <m/>
    <m/>
    <n v="129"/>
    <n v="16420"/>
    <n v="15169"/>
    <x v="0"/>
    <x v="3"/>
  </r>
  <r>
    <d v="2020-05-09T00:00:00"/>
    <x v="3"/>
    <m/>
    <m/>
    <n v="10"/>
    <n v="644"/>
    <n v="559"/>
    <x v="0"/>
    <x v="3"/>
  </r>
  <r>
    <d v="2020-05-10T00:00:00"/>
    <x v="7"/>
    <m/>
    <m/>
    <n v="36"/>
    <n v="5746"/>
    <n v="5277"/>
    <x v="0"/>
    <x v="3"/>
  </r>
  <r>
    <d v="2020-05-10T00:00:00"/>
    <x v="2"/>
    <m/>
    <m/>
    <n v="31"/>
    <n v="5495"/>
    <n v="5093"/>
    <x v="0"/>
    <x v="3"/>
  </r>
  <r>
    <d v="2020-05-10T00:00:00"/>
    <x v="8"/>
    <m/>
    <m/>
    <n v="21"/>
    <n v="2120"/>
    <n v="1921"/>
    <x v="0"/>
    <x v="3"/>
  </r>
  <r>
    <d v="2020-05-10T00:00:00"/>
    <x v="1"/>
    <m/>
    <m/>
    <n v="21"/>
    <n v="2016"/>
    <n v="1846"/>
    <x v="0"/>
    <x v="3"/>
  </r>
  <r>
    <d v="2020-05-10T00:00:00"/>
    <x v="11"/>
    <m/>
    <m/>
    <n v="19"/>
    <n v="1836"/>
    <n v="1680"/>
    <x v="0"/>
    <x v="3"/>
  </r>
  <r>
    <d v="2020-05-10T00:00:00"/>
    <x v="13"/>
    <m/>
    <m/>
    <n v="54"/>
    <n v="13832"/>
    <n v="12864"/>
    <x v="0"/>
    <x v="3"/>
  </r>
  <r>
    <d v="2020-05-10T00:00:00"/>
    <x v="12"/>
    <m/>
    <m/>
    <n v="59"/>
    <n v="14569"/>
    <n v="13566"/>
    <x v="0"/>
    <x v="3"/>
  </r>
  <r>
    <d v="2020-05-10T00:00:00"/>
    <x v="4"/>
    <m/>
    <m/>
    <n v="19"/>
    <n v="1848"/>
    <n v="1649"/>
    <x v="0"/>
    <x v="3"/>
  </r>
  <r>
    <d v="2020-05-10T00:00:00"/>
    <x v="14"/>
    <m/>
    <m/>
    <n v="15"/>
    <n v="792"/>
    <n v="695"/>
    <x v="0"/>
    <x v="3"/>
  </r>
  <r>
    <d v="2020-05-10T00:00:00"/>
    <x v="9"/>
    <m/>
    <m/>
    <n v="15"/>
    <n v="950"/>
    <n v="848"/>
    <x v="0"/>
    <x v="3"/>
  </r>
  <r>
    <d v="2020-05-10T00:00:00"/>
    <x v="10"/>
    <m/>
    <m/>
    <n v="15"/>
    <n v="706"/>
    <n v="608"/>
    <x v="0"/>
    <x v="3"/>
  </r>
  <r>
    <d v="2020-05-10T00:00:00"/>
    <x v="6"/>
    <m/>
    <m/>
    <n v="125"/>
    <n v="20368"/>
    <n v="18884"/>
    <x v="0"/>
    <x v="3"/>
  </r>
  <r>
    <d v="2020-05-10T00:00:00"/>
    <x v="5"/>
    <m/>
    <m/>
    <n v="129"/>
    <n v="16437"/>
    <n v="15285"/>
    <x v="0"/>
    <x v="3"/>
  </r>
  <r>
    <d v="2020-05-10T00:00:00"/>
    <x v="3"/>
    <m/>
    <m/>
    <n v="10"/>
    <n v="642"/>
    <n v="556"/>
    <x v="0"/>
    <x v="3"/>
  </r>
  <r>
    <d v="2020-05-11T00:00:00"/>
    <x v="7"/>
    <m/>
    <m/>
    <n v="36"/>
    <n v="4150"/>
    <n v="3838"/>
    <x v="0"/>
    <x v="1"/>
  </r>
  <r>
    <d v="2020-05-11T00:00:00"/>
    <x v="2"/>
    <m/>
    <m/>
    <n v="31"/>
    <n v="4826"/>
    <n v="4483"/>
    <x v="0"/>
    <x v="1"/>
  </r>
  <r>
    <d v="2020-05-11T00:00:00"/>
    <x v="8"/>
    <m/>
    <m/>
    <n v="21"/>
    <n v="1916"/>
    <n v="1733"/>
    <x v="0"/>
    <x v="1"/>
  </r>
  <r>
    <d v="2020-05-11T00:00:00"/>
    <x v="1"/>
    <m/>
    <m/>
    <n v="21"/>
    <n v="1597"/>
    <n v="1457"/>
    <x v="0"/>
    <x v="1"/>
  </r>
  <r>
    <d v="2020-05-11T00:00:00"/>
    <x v="11"/>
    <m/>
    <m/>
    <n v="19"/>
    <n v="1527"/>
    <n v="1389"/>
    <x v="0"/>
    <x v="1"/>
  </r>
  <r>
    <d v="2020-05-11T00:00:00"/>
    <x v="13"/>
    <m/>
    <m/>
    <n v="54"/>
    <n v="10570"/>
    <n v="9926"/>
    <x v="0"/>
    <x v="1"/>
  </r>
  <r>
    <d v="2020-05-11T00:00:00"/>
    <x v="12"/>
    <m/>
    <m/>
    <n v="60"/>
    <n v="11100"/>
    <n v="10407"/>
    <x v="0"/>
    <x v="1"/>
  </r>
  <r>
    <d v="2020-05-11T00:00:00"/>
    <x v="4"/>
    <m/>
    <m/>
    <n v="19"/>
    <n v="2530"/>
    <n v="2270"/>
    <x v="0"/>
    <x v="1"/>
  </r>
  <r>
    <d v="2020-05-11T00:00:00"/>
    <x v="14"/>
    <m/>
    <m/>
    <n v="15"/>
    <n v="654"/>
    <n v="564"/>
    <x v="0"/>
    <x v="1"/>
  </r>
  <r>
    <d v="2020-05-11T00:00:00"/>
    <x v="9"/>
    <m/>
    <m/>
    <n v="15"/>
    <n v="812"/>
    <n v="714"/>
    <x v="0"/>
    <x v="1"/>
  </r>
  <r>
    <d v="2020-05-11T00:00:00"/>
    <x v="10"/>
    <m/>
    <m/>
    <n v="15"/>
    <n v="684"/>
    <n v="585"/>
    <x v="0"/>
    <x v="1"/>
  </r>
  <r>
    <d v="2020-05-11T00:00:00"/>
    <x v="6"/>
    <m/>
    <m/>
    <n v="125"/>
    <n v="18066"/>
    <n v="16883"/>
    <x v="0"/>
    <x v="1"/>
  </r>
  <r>
    <d v="2020-05-11T00:00:00"/>
    <x v="5"/>
    <m/>
    <m/>
    <n v="129"/>
    <n v="14043"/>
    <n v="13167"/>
    <x v="0"/>
    <x v="1"/>
  </r>
  <r>
    <d v="2020-05-11T00:00:00"/>
    <x v="3"/>
    <m/>
    <m/>
    <n v="10"/>
    <n v="494"/>
    <n v="421"/>
    <x v="0"/>
    <x v="1"/>
  </r>
  <r>
    <d v="2020-05-12T00:00:00"/>
    <x v="7"/>
    <m/>
    <m/>
    <n v="36"/>
    <n v="4418"/>
    <n v="4088"/>
    <x v="0"/>
    <x v="1"/>
  </r>
  <r>
    <d v="2020-05-12T00:00:00"/>
    <x v="2"/>
    <m/>
    <m/>
    <n v="31"/>
    <n v="4800"/>
    <n v="4470"/>
    <x v="0"/>
    <x v="1"/>
  </r>
  <r>
    <d v="2020-05-12T00:00:00"/>
    <x v="8"/>
    <m/>
    <m/>
    <n v="21"/>
    <n v="1926"/>
    <n v="1745"/>
    <x v="0"/>
    <x v="1"/>
  </r>
  <r>
    <d v="2020-05-12T00:00:00"/>
    <x v="1"/>
    <m/>
    <m/>
    <n v="21"/>
    <n v="1656"/>
    <n v="1516"/>
    <x v="0"/>
    <x v="1"/>
  </r>
  <r>
    <d v="2020-05-12T00:00:00"/>
    <x v="11"/>
    <m/>
    <m/>
    <n v="19"/>
    <n v="1598"/>
    <n v="1454"/>
    <x v="0"/>
    <x v="1"/>
  </r>
  <r>
    <d v="2020-05-12T00:00:00"/>
    <x v="13"/>
    <m/>
    <m/>
    <n v="54"/>
    <n v="11614"/>
    <n v="10862"/>
    <x v="0"/>
    <x v="1"/>
  </r>
  <r>
    <d v="2020-05-12T00:00:00"/>
    <x v="12"/>
    <m/>
    <m/>
    <n v="60"/>
    <n v="12000"/>
    <n v="11194"/>
    <x v="0"/>
    <x v="1"/>
  </r>
  <r>
    <d v="2020-05-12T00:00:00"/>
    <x v="4"/>
    <m/>
    <m/>
    <n v="19"/>
    <n v="1649"/>
    <n v="1460"/>
    <x v="0"/>
    <x v="1"/>
  </r>
  <r>
    <d v="2020-05-12T00:00:00"/>
    <x v="14"/>
    <m/>
    <m/>
    <n v="15"/>
    <n v="750"/>
    <n v="659"/>
    <x v="0"/>
    <x v="1"/>
  </r>
  <r>
    <d v="2020-05-12T00:00:00"/>
    <x v="9"/>
    <m/>
    <m/>
    <n v="15"/>
    <n v="845"/>
    <n v="743"/>
    <x v="0"/>
    <x v="1"/>
  </r>
  <r>
    <d v="2020-05-12T00:00:00"/>
    <x v="10"/>
    <m/>
    <m/>
    <n v="15"/>
    <n v="624"/>
    <n v="538"/>
    <x v="0"/>
    <x v="1"/>
  </r>
  <r>
    <d v="2020-05-12T00:00:00"/>
    <x v="6"/>
    <m/>
    <m/>
    <n v="125"/>
    <n v="21106"/>
    <n v="19651"/>
    <x v="0"/>
    <x v="1"/>
  </r>
  <r>
    <d v="2020-05-12T00:00:00"/>
    <x v="5"/>
    <m/>
    <m/>
    <n v="129"/>
    <n v="16387"/>
    <n v="15322"/>
    <x v="0"/>
    <x v="1"/>
  </r>
  <r>
    <d v="2020-05-12T00:00:00"/>
    <x v="3"/>
    <m/>
    <m/>
    <n v="10"/>
    <n v="526"/>
    <n v="448"/>
    <x v="0"/>
    <x v="1"/>
  </r>
  <r>
    <d v="2020-05-13T00:00:00"/>
    <x v="7"/>
    <m/>
    <m/>
    <n v="36"/>
    <n v="4967"/>
    <n v="4583"/>
    <x v="0"/>
    <x v="1"/>
  </r>
  <r>
    <d v="2020-05-13T00:00:00"/>
    <x v="2"/>
    <m/>
    <m/>
    <n v="31"/>
    <n v="5251"/>
    <n v="4853"/>
    <x v="0"/>
    <x v="1"/>
  </r>
  <r>
    <d v="2020-05-13T00:00:00"/>
    <x v="8"/>
    <m/>
    <m/>
    <n v="21"/>
    <n v="2061"/>
    <n v="1876"/>
    <x v="0"/>
    <x v="1"/>
  </r>
  <r>
    <d v="2020-05-13T00:00:00"/>
    <x v="1"/>
    <m/>
    <m/>
    <n v="21"/>
    <n v="1698"/>
    <n v="1554"/>
    <x v="0"/>
    <x v="1"/>
  </r>
  <r>
    <d v="2020-05-13T00:00:00"/>
    <x v="11"/>
    <m/>
    <m/>
    <n v="19"/>
    <n v="1605"/>
    <n v="1447"/>
    <x v="0"/>
    <x v="1"/>
  </r>
  <r>
    <d v="2020-05-13T00:00:00"/>
    <x v="13"/>
    <m/>
    <m/>
    <n v="54"/>
    <n v="11522"/>
    <n v="10803"/>
    <x v="0"/>
    <x v="1"/>
  </r>
  <r>
    <d v="2020-05-13T00:00:00"/>
    <x v="12"/>
    <m/>
    <m/>
    <n v="60"/>
    <n v="12007"/>
    <n v="11245"/>
    <x v="0"/>
    <x v="1"/>
  </r>
  <r>
    <d v="2020-05-13T00:00:00"/>
    <x v="4"/>
    <m/>
    <m/>
    <n v="19"/>
    <n v="1625"/>
    <n v="1444"/>
    <x v="0"/>
    <x v="1"/>
  </r>
  <r>
    <d v="2020-05-13T00:00:00"/>
    <x v="14"/>
    <m/>
    <m/>
    <n v="15"/>
    <n v="854"/>
    <n v="756"/>
    <x v="0"/>
    <x v="1"/>
  </r>
  <r>
    <d v="2020-05-13T00:00:00"/>
    <x v="9"/>
    <m/>
    <m/>
    <n v="15"/>
    <n v="898"/>
    <n v="795"/>
    <x v="0"/>
    <x v="1"/>
  </r>
  <r>
    <d v="2020-05-13T00:00:00"/>
    <x v="10"/>
    <m/>
    <m/>
    <n v="15"/>
    <n v="599"/>
    <n v="515"/>
    <x v="0"/>
    <x v="1"/>
  </r>
  <r>
    <d v="2020-05-13T00:00:00"/>
    <x v="6"/>
    <m/>
    <m/>
    <n v="125"/>
    <n v="19965"/>
    <n v="18573"/>
    <x v="0"/>
    <x v="1"/>
  </r>
  <r>
    <d v="2020-05-13T00:00:00"/>
    <x v="5"/>
    <m/>
    <m/>
    <n v="129"/>
    <n v="15304"/>
    <n v="14315"/>
    <x v="0"/>
    <x v="1"/>
  </r>
  <r>
    <d v="2020-05-13T00:00:00"/>
    <x v="3"/>
    <m/>
    <m/>
    <n v="10"/>
    <n v="612"/>
    <n v="530"/>
    <x v="0"/>
    <x v="1"/>
  </r>
  <r>
    <d v="2020-05-14T00:00:00"/>
    <x v="7"/>
    <m/>
    <m/>
    <n v="36"/>
    <n v="4285"/>
    <n v="3950"/>
    <x v="0"/>
    <x v="1"/>
  </r>
  <r>
    <d v="2020-05-14T00:00:00"/>
    <x v="2"/>
    <m/>
    <m/>
    <n v="31"/>
    <n v="4695"/>
    <n v="4372"/>
    <x v="0"/>
    <x v="1"/>
  </r>
  <r>
    <d v="2020-05-14T00:00:00"/>
    <x v="8"/>
    <m/>
    <m/>
    <n v="21"/>
    <n v="1993"/>
    <n v="1796"/>
    <x v="0"/>
    <x v="1"/>
  </r>
  <r>
    <d v="2020-05-14T00:00:00"/>
    <x v="1"/>
    <m/>
    <m/>
    <n v="21"/>
    <n v="1706"/>
    <n v="1548"/>
    <x v="0"/>
    <x v="1"/>
  </r>
  <r>
    <d v="2020-05-14T00:00:00"/>
    <x v="11"/>
    <m/>
    <m/>
    <n v="19"/>
    <n v="1635"/>
    <n v="1487"/>
    <x v="0"/>
    <x v="1"/>
  </r>
  <r>
    <d v="2020-05-14T00:00:00"/>
    <x v="13"/>
    <m/>
    <m/>
    <n v="54"/>
    <n v="11194"/>
    <n v="10554"/>
    <x v="0"/>
    <x v="1"/>
  </r>
  <r>
    <d v="2020-05-14T00:00:00"/>
    <x v="12"/>
    <m/>
    <m/>
    <n v="60"/>
    <n v="11935"/>
    <n v="11178"/>
    <x v="0"/>
    <x v="1"/>
  </r>
  <r>
    <d v="2020-05-14T00:00:00"/>
    <x v="4"/>
    <m/>
    <m/>
    <n v="19"/>
    <n v="1675"/>
    <n v="1475"/>
    <x v="0"/>
    <x v="1"/>
  </r>
  <r>
    <d v="2020-05-14T00:00:00"/>
    <x v="14"/>
    <m/>
    <m/>
    <n v="16"/>
    <n v="834"/>
    <n v="735"/>
    <x v="0"/>
    <x v="1"/>
  </r>
  <r>
    <d v="2020-05-14T00:00:00"/>
    <x v="9"/>
    <m/>
    <m/>
    <n v="15"/>
    <n v="890"/>
    <n v="777"/>
    <x v="0"/>
    <x v="1"/>
  </r>
  <r>
    <d v="2020-05-14T00:00:00"/>
    <x v="10"/>
    <m/>
    <m/>
    <n v="15"/>
    <n v="638"/>
    <n v="548"/>
    <x v="0"/>
    <x v="1"/>
  </r>
  <r>
    <d v="2020-05-14T00:00:00"/>
    <x v="6"/>
    <m/>
    <m/>
    <n v="125"/>
    <n v="20247"/>
    <n v="18812"/>
    <x v="0"/>
    <x v="1"/>
  </r>
  <r>
    <d v="2020-05-14T00:00:00"/>
    <x v="5"/>
    <m/>
    <m/>
    <n v="129"/>
    <n v="15804"/>
    <n v="14738"/>
    <x v="0"/>
    <x v="1"/>
  </r>
  <r>
    <d v="2020-05-14T00:00:00"/>
    <x v="3"/>
    <m/>
    <m/>
    <n v="10"/>
    <n v="627"/>
    <n v="545"/>
    <x v="0"/>
    <x v="1"/>
  </r>
  <r>
    <d v="2020-05-15T00:00:00"/>
    <x v="7"/>
    <m/>
    <m/>
    <n v="36"/>
    <n v="4862"/>
    <n v="4476"/>
    <x v="0"/>
    <x v="1"/>
  </r>
  <r>
    <d v="2020-05-15T00:00:00"/>
    <x v="2"/>
    <m/>
    <m/>
    <n v="31"/>
    <n v="5184"/>
    <n v="4778"/>
    <x v="0"/>
    <x v="1"/>
  </r>
  <r>
    <d v="2020-05-15T00:00:00"/>
    <x v="8"/>
    <m/>
    <m/>
    <n v="21"/>
    <n v="2255"/>
    <n v="2045"/>
    <x v="0"/>
    <x v="1"/>
  </r>
  <r>
    <d v="2020-05-15T00:00:00"/>
    <x v="1"/>
    <m/>
    <m/>
    <n v="21"/>
    <n v="1926"/>
    <n v="1742"/>
    <x v="0"/>
    <x v="1"/>
  </r>
  <r>
    <d v="2020-05-15T00:00:00"/>
    <x v="11"/>
    <m/>
    <m/>
    <n v="19"/>
    <n v="1780"/>
    <n v="1615"/>
    <x v="0"/>
    <x v="1"/>
  </r>
  <r>
    <d v="2020-05-15T00:00:00"/>
    <x v="13"/>
    <m/>
    <m/>
    <n v="54"/>
    <n v="12791"/>
    <n v="11950"/>
    <x v="0"/>
    <x v="1"/>
  </r>
  <r>
    <d v="2020-05-15T00:00:00"/>
    <x v="12"/>
    <m/>
    <m/>
    <n v="60"/>
    <n v="13544"/>
    <n v="12643"/>
    <x v="0"/>
    <x v="1"/>
  </r>
  <r>
    <d v="2020-05-15T00:00:00"/>
    <x v="4"/>
    <m/>
    <m/>
    <n v="19"/>
    <n v="1940"/>
    <n v="1715"/>
    <x v="0"/>
    <x v="1"/>
  </r>
  <r>
    <d v="2020-05-15T00:00:00"/>
    <x v="14"/>
    <m/>
    <m/>
    <n v="16"/>
    <n v="817"/>
    <n v="718"/>
    <x v="0"/>
    <x v="1"/>
  </r>
  <r>
    <d v="2020-05-15T00:00:00"/>
    <x v="9"/>
    <m/>
    <m/>
    <n v="15"/>
    <n v="980"/>
    <n v="867"/>
    <x v="0"/>
    <x v="1"/>
  </r>
  <r>
    <d v="2020-05-15T00:00:00"/>
    <x v="10"/>
    <m/>
    <m/>
    <n v="15"/>
    <n v="688"/>
    <n v="598"/>
    <x v="0"/>
    <x v="1"/>
  </r>
  <r>
    <d v="2020-05-15T00:00:00"/>
    <x v="6"/>
    <m/>
    <m/>
    <n v="125"/>
    <n v="21862"/>
    <n v="20235"/>
    <x v="0"/>
    <x v="1"/>
  </r>
  <r>
    <d v="2020-05-15T00:00:00"/>
    <x v="5"/>
    <m/>
    <m/>
    <n v="129"/>
    <n v="17808"/>
    <n v="16486"/>
    <x v="0"/>
    <x v="1"/>
  </r>
  <r>
    <d v="2020-05-15T00:00:00"/>
    <x v="3"/>
    <m/>
    <m/>
    <n v="10"/>
    <n v="743"/>
    <n v="652"/>
    <x v="0"/>
    <x v="1"/>
  </r>
  <r>
    <d v="2020-05-16T00:00:00"/>
    <x v="7"/>
    <m/>
    <m/>
    <n v="36"/>
    <n v="5286"/>
    <n v="4867"/>
    <x v="0"/>
    <x v="1"/>
  </r>
  <r>
    <d v="2020-05-16T00:00:00"/>
    <x v="2"/>
    <m/>
    <m/>
    <n v="31"/>
    <n v="5593"/>
    <n v="5177"/>
    <x v="0"/>
    <x v="1"/>
  </r>
  <r>
    <d v="2020-05-16T00:00:00"/>
    <x v="8"/>
    <m/>
    <m/>
    <n v="21"/>
    <n v="2427"/>
    <n v="2213"/>
    <x v="0"/>
    <x v="1"/>
  </r>
  <r>
    <d v="2020-05-16T00:00:00"/>
    <x v="1"/>
    <m/>
    <m/>
    <n v="21"/>
    <n v="2145"/>
    <n v="1947"/>
    <x v="0"/>
    <x v="1"/>
  </r>
  <r>
    <d v="2020-05-16T00:00:00"/>
    <x v="11"/>
    <m/>
    <m/>
    <n v="19"/>
    <n v="2039"/>
    <n v="1868"/>
    <x v="0"/>
    <x v="1"/>
  </r>
  <r>
    <d v="2020-05-16T00:00:00"/>
    <x v="13"/>
    <m/>
    <m/>
    <n v="54"/>
    <n v="13170"/>
    <n v="12299"/>
    <x v="0"/>
    <x v="1"/>
  </r>
  <r>
    <d v="2020-05-16T00:00:00"/>
    <x v="12"/>
    <m/>
    <m/>
    <n v="60"/>
    <n v="14049"/>
    <n v="13118"/>
    <x v="0"/>
    <x v="1"/>
  </r>
  <r>
    <d v="2020-05-16T00:00:00"/>
    <x v="4"/>
    <m/>
    <m/>
    <n v="19"/>
    <n v="2080"/>
    <n v="1844"/>
    <x v="0"/>
    <x v="1"/>
  </r>
  <r>
    <d v="2020-05-16T00:00:00"/>
    <x v="14"/>
    <m/>
    <m/>
    <n v="16"/>
    <n v="920"/>
    <n v="818"/>
    <x v="0"/>
    <x v="1"/>
  </r>
  <r>
    <d v="2020-05-16T00:00:00"/>
    <x v="9"/>
    <m/>
    <m/>
    <n v="15"/>
    <n v="1111"/>
    <n v="992"/>
    <x v="0"/>
    <x v="1"/>
  </r>
  <r>
    <d v="2020-05-16T00:00:00"/>
    <x v="10"/>
    <m/>
    <m/>
    <n v="15"/>
    <n v="747"/>
    <n v="647"/>
    <x v="0"/>
    <x v="1"/>
  </r>
  <r>
    <d v="2020-05-16T00:00:00"/>
    <x v="6"/>
    <m/>
    <m/>
    <n v="125"/>
    <n v="22291"/>
    <n v="20635"/>
    <x v="0"/>
    <x v="1"/>
  </r>
  <r>
    <d v="2020-05-16T00:00:00"/>
    <x v="5"/>
    <m/>
    <m/>
    <n v="129"/>
    <n v="17914"/>
    <n v="16631"/>
    <x v="0"/>
    <x v="1"/>
  </r>
  <r>
    <d v="2020-05-16T00:00:00"/>
    <x v="3"/>
    <m/>
    <m/>
    <n v="10"/>
    <n v="760"/>
    <n v="672"/>
    <x v="0"/>
    <x v="1"/>
  </r>
  <r>
    <d v="2020-05-17T00:00:00"/>
    <x v="7"/>
    <m/>
    <m/>
    <n v="36"/>
    <n v="4918"/>
    <n v="4554"/>
    <x v="0"/>
    <x v="1"/>
  </r>
  <r>
    <d v="2020-05-17T00:00:00"/>
    <x v="2"/>
    <m/>
    <m/>
    <n v="31"/>
    <n v="5206"/>
    <n v="4843"/>
    <x v="0"/>
    <x v="1"/>
  </r>
  <r>
    <d v="2020-05-17T00:00:00"/>
    <x v="8"/>
    <m/>
    <m/>
    <n v="21"/>
    <n v="2054"/>
    <n v="1883"/>
    <x v="0"/>
    <x v="1"/>
  </r>
  <r>
    <d v="2020-05-17T00:00:00"/>
    <x v="1"/>
    <m/>
    <m/>
    <n v="21"/>
    <n v="1874"/>
    <n v="1705"/>
    <x v="0"/>
    <x v="1"/>
  </r>
  <r>
    <d v="2020-05-17T00:00:00"/>
    <x v="11"/>
    <m/>
    <m/>
    <n v="19"/>
    <n v="1790"/>
    <n v="1633"/>
    <x v="0"/>
    <x v="1"/>
  </r>
  <r>
    <d v="2020-05-17T00:00:00"/>
    <x v="13"/>
    <m/>
    <m/>
    <n v="54"/>
    <n v="11128"/>
    <n v="10467"/>
    <x v="0"/>
    <x v="1"/>
  </r>
  <r>
    <d v="2020-05-17T00:00:00"/>
    <x v="12"/>
    <m/>
    <m/>
    <n v="60"/>
    <n v="11698"/>
    <n v="10989"/>
    <x v="0"/>
    <x v="1"/>
  </r>
  <r>
    <d v="2020-05-17T00:00:00"/>
    <x v="4"/>
    <m/>
    <m/>
    <n v="19"/>
    <n v="1871"/>
    <n v="1660"/>
    <x v="0"/>
    <x v="1"/>
  </r>
  <r>
    <d v="2020-05-17T00:00:00"/>
    <x v="14"/>
    <m/>
    <m/>
    <n v="16"/>
    <n v="859"/>
    <n v="746"/>
    <x v="0"/>
    <x v="1"/>
  </r>
  <r>
    <d v="2020-05-17T00:00:00"/>
    <x v="9"/>
    <m/>
    <m/>
    <n v="15"/>
    <n v="971"/>
    <n v="856"/>
    <x v="0"/>
    <x v="1"/>
  </r>
  <r>
    <d v="2020-05-17T00:00:00"/>
    <x v="10"/>
    <m/>
    <m/>
    <n v="15"/>
    <n v="692"/>
    <n v="591"/>
    <x v="0"/>
    <x v="1"/>
  </r>
  <r>
    <d v="2020-05-17T00:00:00"/>
    <x v="6"/>
    <m/>
    <m/>
    <n v="125"/>
    <n v="20079"/>
    <n v="18721"/>
    <x v="0"/>
    <x v="1"/>
  </r>
  <r>
    <d v="2020-05-17T00:00:00"/>
    <x v="5"/>
    <m/>
    <m/>
    <n v="129"/>
    <n v="15744"/>
    <n v="14685"/>
    <x v="0"/>
    <x v="1"/>
  </r>
  <r>
    <d v="2020-05-17T00:00:00"/>
    <x v="3"/>
    <m/>
    <m/>
    <n v="10"/>
    <n v="591"/>
    <n v="513"/>
    <x v="0"/>
    <x v="1"/>
  </r>
  <r>
    <d v="2020-05-18T00:00:00"/>
    <x v="7"/>
    <m/>
    <m/>
    <n v="36"/>
    <n v="4885"/>
    <n v="4502"/>
    <x v="0"/>
    <x v="2"/>
  </r>
  <r>
    <d v="2020-05-18T00:00:00"/>
    <x v="2"/>
    <m/>
    <m/>
    <n v="31"/>
    <n v="5165"/>
    <n v="4813"/>
    <x v="0"/>
    <x v="2"/>
  </r>
  <r>
    <d v="2020-05-18T00:00:00"/>
    <x v="8"/>
    <m/>
    <m/>
    <n v="21"/>
    <n v="2136"/>
    <n v="1947"/>
    <x v="0"/>
    <x v="2"/>
  </r>
  <r>
    <d v="2020-05-18T00:00:00"/>
    <x v="1"/>
    <m/>
    <m/>
    <n v="21"/>
    <n v="1834"/>
    <n v="1660"/>
    <x v="0"/>
    <x v="2"/>
  </r>
  <r>
    <d v="2020-05-18T00:00:00"/>
    <x v="11"/>
    <m/>
    <m/>
    <n v="19"/>
    <n v="1741"/>
    <n v="1597"/>
    <x v="0"/>
    <x v="2"/>
  </r>
  <r>
    <d v="2020-05-18T00:00:00"/>
    <x v="13"/>
    <m/>
    <m/>
    <n v="54"/>
    <n v="12012"/>
    <n v="11308"/>
    <x v="0"/>
    <x v="2"/>
  </r>
  <r>
    <d v="2020-05-18T00:00:00"/>
    <x v="12"/>
    <m/>
    <m/>
    <n v="60"/>
    <n v="12460"/>
    <n v="11665"/>
    <x v="0"/>
    <x v="2"/>
  </r>
  <r>
    <d v="2020-05-18T00:00:00"/>
    <x v="4"/>
    <m/>
    <m/>
    <n v="19"/>
    <n v="1858"/>
    <n v="1648"/>
    <x v="0"/>
    <x v="2"/>
  </r>
  <r>
    <d v="2020-05-18T00:00:00"/>
    <x v="14"/>
    <m/>
    <m/>
    <n v="16"/>
    <n v="864"/>
    <n v="765"/>
    <x v="0"/>
    <x v="2"/>
  </r>
  <r>
    <d v="2020-05-18T00:00:00"/>
    <x v="9"/>
    <m/>
    <m/>
    <n v="16"/>
    <n v="925"/>
    <n v="816"/>
    <x v="0"/>
    <x v="2"/>
  </r>
  <r>
    <d v="2020-05-18T00:00:00"/>
    <x v="10"/>
    <m/>
    <m/>
    <n v="15"/>
    <n v="729"/>
    <n v="636"/>
    <x v="0"/>
    <x v="2"/>
  </r>
  <r>
    <d v="2020-05-18T00:00:00"/>
    <x v="6"/>
    <m/>
    <m/>
    <n v="125"/>
    <n v="20449"/>
    <n v="19060"/>
    <x v="0"/>
    <x v="2"/>
  </r>
  <r>
    <d v="2020-05-18T00:00:00"/>
    <x v="5"/>
    <m/>
    <m/>
    <n v="129"/>
    <n v="16110"/>
    <n v="14992"/>
    <x v="0"/>
    <x v="2"/>
  </r>
  <r>
    <d v="2020-05-18T00:00:00"/>
    <x v="3"/>
    <m/>
    <m/>
    <n v="10"/>
    <n v="645"/>
    <n v="565"/>
    <x v="0"/>
    <x v="2"/>
  </r>
  <r>
    <d v="2020-05-19T00:00:00"/>
    <x v="7"/>
    <m/>
    <m/>
    <n v="36"/>
    <n v="5094"/>
    <n v="4716"/>
    <x v="0"/>
    <x v="2"/>
  </r>
  <r>
    <d v="2020-05-19T00:00:00"/>
    <x v="2"/>
    <m/>
    <m/>
    <n v="31"/>
    <n v="5389"/>
    <n v="5024"/>
    <x v="0"/>
    <x v="2"/>
  </r>
  <r>
    <d v="2020-05-19T00:00:00"/>
    <x v="8"/>
    <m/>
    <m/>
    <n v="21"/>
    <n v="2245"/>
    <n v="2053"/>
    <x v="0"/>
    <x v="2"/>
  </r>
  <r>
    <d v="2020-05-19T00:00:00"/>
    <x v="1"/>
    <m/>
    <m/>
    <n v="21"/>
    <n v="1860"/>
    <n v="1704"/>
    <x v="0"/>
    <x v="2"/>
  </r>
  <r>
    <d v="2020-05-19T00:00:00"/>
    <x v="11"/>
    <m/>
    <m/>
    <n v="19"/>
    <n v="1831"/>
    <n v="1667"/>
    <x v="0"/>
    <x v="2"/>
  </r>
  <r>
    <d v="2020-05-19T00:00:00"/>
    <x v="13"/>
    <m/>
    <m/>
    <n v="54"/>
    <n v="13070"/>
    <n v="12244"/>
    <x v="0"/>
    <x v="2"/>
  </r>
  <r>
    <d v="2020-05-19T00:00:00"/>
    <x v="12"/>
    <m/>
    <m/>
    <n v="60"/>
    <n v="13867"/>
    <n v="12987"/>
    <x v="0"/>
    <x v="2"/>
  </r>
  <r>
    <d v="2020-05-19T00:00:00"/>
    <x v="4"/>
    <m/>
    <m/>
    <n v="19"/>
    <n v="1999"/>
    <n v="1799"/>
    <x v="0"/>
    <x v="2"/>
  </r>
  <r>
    <d v="2020-05-19T00:00:00"/>
    <x v="14"/>
    <m/>
    <m/>
    <n v="17"/>
    <n v="857"/>
    <n v="757"/>
    <x v="0"/>
    <x v="2"/>
  </r>
  <r>
    <d v="2020-05-19T00:00:00"/>
    <x v="9"/>
    <m/>
    <m/>
    <n v="16"/>
    <n v="1012"/>
    <n v="900"/>
    <x v="0"/>
    <x v="2"/>
  </r>
  <r>
    <d v="2020-05-19T00:00:00"/>
    <x v="10"/>
    <m/>
    <m/>
    <n v="15"/>
    <n v="930"/>
    <n v="827"/>
    <x v="0"/>
    <x v="2"/>
  </r>
  <r>
    <d v="2020-05-19T00:00:00"/>
    <x v="6"/>
    <m/>
    <m/>
    <n v="125"/>
    <n v="20771"/>
    <n v="19338"/>
    <x v="0"/>
    <x v="2"/>
  </r>
  <r>
    <d v="2020-05-19T00:00:00"/>
    <x v="5"/>
    <m/>
    <m/>
    <n v="129"/>
    <n v="16191"/>
    <n v="15102"/>
    <x v="0"/>
    <x v="2"/>
  </r>
  <r>
    <d v="2020-05-19T00:00:00"/>
    <x v="3"/>
    <m/>
    <m/>
    <n v="10"/>
    <n v="649"/>
    <n v="568"/>
    <x v="0"/>
    <x v="2"/>
  </r>
  <r>
    <d v="2020-05-20T00:00:00"/>
    <x v="7"/>
    <m/>
    <m/>
    <n v="36"/>
    <n v="5914"/>
    <n v="5384"/>
    <x v="0"/>
    <x v="2"/>
  </r>
  <r>
    <d v="2020-05-20T00:00:00"/>
    <x v="2"/>
    <m/>
    <m/>
    <n v="31"/>
    <n v="5698"/>
    <n v="5258"/>
    <x v="0"/>
    <x v="2"/>
  </r>
  <r>
    <d v="2020-05-20T00:00:00"/>
    <x v="8"/>
    <m/>
    <m/>
    <n v="21"/>
    <n v="2410"/>
    <n v="2202"/>
    <x v="0"/>
    <x v="2"/>
  </r>
  <r>
    <d v="2020-05-20T00:00:00"/>
    <x v="1"/>
    <m/>
    <m/>
    <n v="21"/>
    <n v="1921"/>
    <n v="1767"/>
    <x v="0"/>
    <x v="2"/>
  </r>
  <r>
    <d v="2020-05-20T00:00:00"/>
    <x v="11"/>
    <m/>
    <m/>
    <n v="19"/>
    <n v="1823"/>
    <n v="1678"/>
    <x v="0"/>
    <x v="2"/>
  </r>
  <r>
    <d v="2020-05-20T00:00:00"/>
    <x v="13"/>
    <m/>
    <m/>
    <n v="54"/>
    <n v="13298"/>
    <n v="12428"/>
    <x v="0"/>
    <x v="2"/>
  </r>
  <r>
    <d v="2020-05-20T00:00:00"/>
    <x v="12"/>
    <m/>
    <m/>
    <n v="60"/>
    <n v="13792"/>
    <n v="12834"/>
    <x v="0"/>
    <x v="2"/>
  </r>
  <r>
    <d v="2020-05-20T00:00:00"/>
    <x v="4"/>
    <m/>
    <m/>
    <n v="19"/>
    <n v="1889"/>
    <n v="1690"/>
    <x v="0"/>
    <x v="2"/>
  </r>
  <r>
    <d v="2020-05-20T00:00:00"/>
    <x v="14"/>
    <m/>
    <m/>
    <n v="17"/>
    <n v="890"/>
    <n v="794"/>
    <x v="0"/>
    <x v="2"/>
  </r>
  <r>
    <d v="2020-05-20T00:00:00"/>
    <x v="9"/>
    <m/>
    <m/>
    <n v="16"/>
    <n v="1050"/>
    <n v="938"/>
    <x v="0"/>
    <x v="2"/>
  </r>
  <r>
    <d v="2020-05-20T00:00:00"/>
    <x v="10"/>
    <m/>
    <m/>
    <n v="15"/>
    <n v="760"/>
    <n v="664"/>
    <x v="0"/>
    <x v="2"/>
  </r>
  <r>
    <d v="2020-05-20T00:00:00"/>
    <x v="6"/>
    <m/>
    <m/>
    <n v="125"/>
    <n v="21674"/>
    <n v="20155"/>
    <x v="0"/>
    <x v="2"/>
  </r>
  <r>
    <d v="2020-05-20T00:00:00"/>
    <x v="5"/>
    <m/>
    <m/>
    <n v="129"/>
    <n v="17095"/>
    <n v="15919"/>
    <x v="0"/>
    <x v="2"/>
  </r>
  <r>
    <d v="2020-05-20T00:00:00"/>
    <x v="3"/>
    <m/>
    <m/>
    <n v="10"/>
    <n v="745"/>
    <n v="654"/>
    <x v="0"/>
    <x v="2"/>
  </r>
  <r>
    <d v="2020-05-21T00:00:00"/>
    <x v="7"/>
    <m/>
    <m/>
    <n v="36"/>
    <n v="4816"/>
    <n v="4452"/>
    <x v="0"/>
    <x v="2"/>
  </r>
  <r>
    <d v="2020-05-21T00:00:00"/>
    <x v="2"/>
    <m/>
    <m/>
    <n v="31"/>
    <n v="5207"/>
    <n v="4868"/>
    <x v="0"/>
    <x v="2"/>
  </r>
  <r>
    <d v="2020-05-21T00:00:00"/>
    <x v="8"/>
    <m/>
    <m/>
    <n v="21"/>
    <n v="2335"/>
    <n v="2126"/>
    <x v="0"/>
    <x v="2"/>
  </r>
  <r>
    <d v="2020-05-21T00:00:00"/>
    <x v="1"/>
    <m/>
    <m/>
    <n v="21"/>
    <n v="1787"/>
    <n v="1626"/>
    <x v="0"/>
    <x v="2"/>
  </r>
  <r>
    <d v="2020-05-21T00:00:00"/>
    <x v="11"/>
    <m/>
    <m/>
    <n v="19"/>
    <n v="1650"/>
    <n v="1505"/>
    <x v="0"/>
    <x v="2"/>
  </r>
  <r>
    <d v="2020-05-21T00:00:00"/>
    <x v="13"/>
    <m/>
    <m/>
    <n v="54"/>
    <n v="13240"/>
    <n v="12360"/>
    <x v="0"/>
    <x v="2"/>
  </r>
  <r>
    <d v="2020-05-21T00:00:00"/>
    <x v="12"/>
    <m/>
    <m/>
    <n v="60"/>
    <n v="14005"/>
    <n v="13002"/>
    <x v="0"/>
    <x v="2"/>
  </r>
  <r>
    <d v="2020-05-21T00:00:00"/>
    <x v="4"/>
    <m/>
    <m/>
    <n v="19"/>
    <n v="1949"/>
    <n v="1724"/>
    <x v="0"/>
    <x v="2"/>
  </r>
  <r>
    <d v="2020-05-21T00:00:00"/>
    <x v="14"/>
    <m/>
    <m/>
    <n v="18"/>
    <n v="888"/>
    <n v="786"/>
    <x v="0"/>
    <x v="2"/>
  </r>
  <r>
    <d v="2020-05-21T00:00:00"/>
    <x v="9"/>
    <m/>
    <m/>
    <n v="17"/>
    <n v="1045"/>
    <n v="930"/>
    <x v="0"/>
    <x v="2"/>
  </r>
  <r>
    <d v="2020-05-21T00:00:00"/>
    <x v="10"/>
    <m/>
    <m/>
    <n v="15"/>
    <n v="749"/>
    <n v="652"/>
    <x v="0"/>
    <x v="2"/>
  </r>
  <r>
    <d v="2020-05-21T00:00:00"/>
    <x v="6"/>
    <m/>
    <m/>
    <n v="125"/>
    <n v="20911"/>
    <n v="19358"/>
    <x v="0"/>
    <x v="2"/>
  </r>
  <r>
    <d v="2020-05-21T00:00:00"/>
    <x v="5"/>
    <m/>
    <m/>
    <n v="129"/>
    <n v="16373"/>
    <n v="15223"/>
    <x v="0"/>
    <x v="2"/>
  </r>
  <r>
    <d v="2020-05-21T00:00:00"/>
    <x v="3"/>
    <m/>
    <m/>
    <n v="10"/>
    <n v="677"/>
    <n v="591"/>
    <x v="0"/>
    <x v="2"/>
  </r>
  <r>
    <d v="2020-05-22T00:00:00"/>
    <x v="7"/>
    <m/>
    <m/>
    <n v="36"/>
    <n v="4857"/>
    <n v="4456"/>
    <x v="0"/>
    <x v="2"/>
  </r>
  <r>
    <d v="2020-05-22T00:00:00"/>
    <x v="2"/>
    <m/>
    <m/>
    <n v="31"/>
    <n v="5965"/>
    <n v="5533"/>
    <x v="0"/>
    <x v="2"/>
  </r>
  <r>
    <d v="2020-05-22T00:00:00"/>
    <x v="8"/>
    <m/>
    <m/>
    <n v="21"/>
    <n v="2861"/>
    <n v="2612"/>
    <x v="0"/>
    <x v="2"/>
  </r>
  <r>
    <d v="2020-05-22T00:00:00"/>
    <x v="1"/>
    <m/>
    <m/>
    <n v="21"/>
    <n v="2046"/>
    <n v="1853"/>
    <x v="0"/>
    <x v="2"/>
  </r>
  <r>
    <d v="2020-05-22T00:00:00"/>
    <x v="11"/>
    <m/>
    <m/>
    <n v="19"/>
    <n v="1859"/>
    <n v="1697"/>
    <x v="0"/>
    <x v="2"/>
  </r>
  <r>
    <d v="2020-05-22T00:00:00"/>
    <x v="13"/>
    <m/>
    <m/>
    <n v="54"/>
    <n v="13014"/>
    <n v="12095"/>
    <x v="0"/>
    <x v="2"/>
  </r>
  <r>
    <d v="2020-05-22T00:00:00"/>
    <x v="12"/>
    <m/>
    <m/>
    <n v="60"/>
    <n v="14050"/>
    <n v="13027"/>
    <x v="0"/>
    <x v="2"/>
  </r>
  <r>
    <d v="2020-05-22T00:00:00"/>
    <x v="4"/>
    <m/>
    <m/>
    <n v="20"/>
    <n v="2306"/>
    <n v="2054"/>
    <x v="0"/>
    <x v="2"/>
  </r>
  <r>
    <d v="2020-05-22T00:00:00"/>
    <x v="14"/>
    <m/>
    <m/>
    <n v="18"/>
    <n v="985"/>
    <n v="861"/>
    <x v="0"/>
    <x v="2"/>
  </r>
  <r>
    <d v="2020-05-22T00:00:00"/>
    <x v="9"/>
    <m/>
    <m/>
    <n v="17"/>
    <n v="1268"/>
    <n v="1129"/>
    <x v="0"/>
    <x v="2"/>
  </r>
  <r>
    <d v="2020-05-22T00:00:00"/>
    <x v="10"/>
    <m/>
    <m/>
    <n v="15"/>
    <n v="903"/>
    <n v="792"/>
    <x v="0"/>
    <x v="2"/>
  </r>
  <r>
    <d v="2020-05-22T00:00:00"/>
    <x v="6"/>
    <m/>
    <m/>
    <n v="125"/>
    <n v="21427"/>
    <n v="19799"/>
    <x v="0"/>
    <x v="2"/>
  </r>
  <r>
    <d v="2020-05-22T00:00:00"/>
    <x v="5"/>
    <m/>
    <m/>
    <n v="129"/>
    <n v="17088"/>
    <n v="15804"/>
    <x v="0"/>
    <x v="2"/>
  </r>
  <r>
    <d v="2020-05-22T00:00:00"/>
    <x v="3"/>
    <m/>
    <m/>
    <n v="10"/>
    <n v="965"/>
    <n v="861"/>
    <x v="0"/>
    <x v="2"/>
  </r>
  <r>
    <d v="2020-05-23T00:00:00"/>
    <x v="7"/>
    <m/>
    <m/>
    <n v="36"/>
    <n v="5651"/>
    <n v="5212"/>
    <x v="0"/>
    <x v="2"/>
  </r>
  <r>
    <d v="2020-05-23T00:00:00"/>
    <x v="2"/>
    <m/>
    <m/>
    <n v="31"/>
    <n v="6276"/>
    <n v="5801"/>
    <x v="0"/>
    <x v="2"/>
  </r>
  <r>
    <d v="2020-05-23T00:00:00"/>
    <x v="8"/>
    <m/>
    <m/>
    <n v="21"/>
    <n v="2460"/>
    <n v="2226"/>
    <x v="0"/>
    <x v="2"/>
  </r>
  <r>
    <d v="2020-05-23T00:00:00"/>
    <x v="1"/>
    <m/>
    <m/>
    <n v="21"/>
    <n v="2340"/>
    <n v="2146"/>
    <x v="0"/>
    <x v="2"/>
  </r>
  <r>
    <d v="2020-05-23T00:00:00"/>
    <x v="11"/>
    <m/>
    <m/>
    <n v="19"/>
    <n v="2195"/>
    <n v="1999"/>
    <x v="0"/>
    <x v="2"/>
  </r>
  <r>
    <d v="2020-05-23T00:00:00"/>
    <x v="13"/>
    <m/>
    <m/>
    <n v="54"/>
    <n v="16221"/>
    <n v="15065"/>
    <x v="0"/>
    <x v="2"/>
  </r>
  <r>
    <d v="2020-05-23T00:00:00"/>
    <x v="12"/>
    <m/>
    <m/>
    <n v="60"/>
    <n v="17295"/>
    <n v="16010"/>
    <x v="0"/>
    <x v="2"/>
  </r>
  <r>
    <d v="2020-05-23T00:00:00"/>
    <x v="4"/>
    <m/>
    <m/>
    <n v="20"/>
    <n v="2266"/>
    <n v="1993"/>
    <x v="0"/>
    <x v="2"/>
  </r>
  <r>
    <d v="2020-05-23T00:00:00"/>
    <x v="14"/>
    <m/>
    <m/>
    <n v="18"/>
    <n v="1031"/>
    <n v="918"/>
    <x v="0"/>
    <x v="2"/>
  </r>
  <r>
    <d v="2020-05-23T00:00:00"/>
    <x v="9"/>
    <m/>
    <m/>
    <n v="17"/>
    <n v="1294"/>
    <n v="1155"/>
    <x v="0"/>
    <x v="2"/>
  </r>
  <r>
    <d v="2020-05-23T00:00:00"/>
    <x v="10"/>
    <m/>
    <m/>
    <n v="15"/>
    <n v="840"/>
    <n v="725"/>
    <x v="0"/>
    <x v="2"/>
  </r>
  <r>
    <d v="2020-05-23T00:00:00"/>
    <x v="6"/>
    <m/>
    <m/>
    <n v="125"/>
    <n v="24574"/>
    <n v="22609"/>
    <x v="0"/>
    <x v="2"/>
  </r>
  <r>
    <d v="2020-05-23T00:00:00"/>
    <x v="5"/>
    <m/>
    <m/>
    <n v="129"/>
    <n v="19856"/>
    <n v="18325"/>
    <x v="0"/>
    <x v="2"/>
  </r>
  <r>
    <d v="2020-05-23T00:00:00"/>
    <x v="3"/>
    <m/>
    <m/>
    <n v="10"/>
    <n v="828"/>
    <n v="734"/>
    <x v="0"/>
    <x v="2"/>
  </r>
  <r>
    <d v="2020-05-24T00:00:00"/>
    <x v="7"/>
    <m/>
    <m/>
    <n v="36"/>
    <n v="4915"/>
    <n v="4562"/>
    <x v="0"/>
    <x v="2"/>
  </r>
  <r>
    <d v="2020-05-24T00:00:00"/>
    <x v="2"/>
    <m/>
    <m/>
    <n v="31"/>
    <n v="5035"/>
    <n v="4683"/>
    <x v="0"/>
    <x v="2"/>
  </r>
  <r>
    <d v="2020-05-24T00:00:00"/>
    <x v="8"/>
    <m/>
    <m/>
    <n v="21"/>
    <n v="2254"/>
    <n v="2061"/>
    <x v="0"/>
    <x v="2"/>
  </r>
  <r>
    <d v="2020-05-24T00:00:00"/>
    <x v="1"/>
    <m/>
    <m/>
    <n v="20"/>
    <n v="1999"/>
    <n v="1829"/>
    <x v="0"/>
    <x v="2"/>
  </r>
  <r>
    <d v="2020-05-24T00:00:00"/>
    <x v="11"/>
    <m/>
    <m/>
    <n v="19"/>
    <n v="1868"/>
    <n v="1706"/>
    <x v="0"/>
    <x v="2"/>
  </r>
  <r>
    <d v="2020-05-24T00:00:00"/>
    <x v="13"/>
    <m/>
    <m/>
    <n v="54"/>
    <n v="12211"/>
    <n v="11427"/>
    <x v="0"/>
    <x v="2"/>
  </r>
  <r>
    <d v="2020-05-24T00:00:00"/>
    <x v="12"/>
    <m/>
    <m/>
    <n v="60"/>
    <n v="12822"/>
    <n v="11916"/>
    <x v="0"/>
    <x v="2"/>
  </r>
  <r>
    <d v="2020-05-24T00:00:00"/>
    <x v="4"/>
    <m/>
    <m/>
    <n v="20"/>
    <n v="2015"/>
    <n v="1803"/>
    <x v="0"/>
    <x v="2"/>
  </r>
  <r>
    <d v="2020-05-24T00:00:00"/>
    <x v="14"/>
    <m/>
    <m/>
    <n v="18"/>
    <n v="1006"/>
    <n v="904"/>
    <x v="0"/>
    <x v="2"/>
  </r>
  <r>
    <d v="2020-05-24T00:00:00"/>
    <x v="9"/>
    <m/>
    <m/>
    <n v="17"/>
    <n v="1128"/>
    <n v="1001"/>
    <x v="0"/>
    <x v="2"/>
  </r>
  <r>
    <d v="2020-05-24T00:00:00"/>
    <x v="10"/>
    <m/>
    <m/>
    <n v="15"/>
    <n v="779"/>
    <n v="673"/>
    <x v="0"/>
    <x v="2"/>
  </r>
  <r>
    <d v="2020-05-24T00:00:00"/>
    <x v="6"/>
    <m/>
    <m/>
    <n v="125"/>
    <n v="21004"/>
    <n v="19556"/>
    <x v="0"/>
    <x v="2"/>
  </r>
  <r>
    <d v="2020-05-24T00:00:00"/>
    <x v="5"/>
    <m/>
    <m/>
    <n v="129"/>
    <n v="16432"/>
    <n v="15345"/>
    <x v="0"/>
    <x v="2"/>
  </r>
  <r>
    <d v="2020-05-24T00:00:00"/>
    <x v="3"/>
    <m/>
    <m/>
    <n v="10"/>
    <n v="639"/>
    <n v="557"/>
    <x v="0"/>
    <x v="2"/>
  </r>
  <r>
    <d v="2020-05-25T00:00:00"/>
    <x v="7"/>
    <m/>
    <m/>
    <n v="36"/>
    <n v="4641"/>
    <n v="4274"/>
    <x v="0"/>
    <x v="0"/>
  </r>
  <r>
    <d v="2020-05-25T00:00:00"/>
    <x v="2"/>
    <m/>
    <m/>
    <n v="31"/>
    <n v="5210"/>
    <n v="4841"/>
    <x v="0"/>
    <x v="0"/>
  </r>
  <r>
    <d v="2020-05-25T00:00:00"/>
    <x v="8"/>
    <m/>
    <m/>
    <n v="21"/>
    <n v="2330"/>
    <n v="2142"/>
    <x v="0"/>
    <x v="0"/>
  </r>
  <r>
    <d v="2020-05-25T00:00:00"/>
    <x v="1"/>
    <m/>
    <m/>
    <n v="20"/>
    <n v="2087"/>
    <n v="1914"/>
    <x v="0"/>
    <x v="0"/>
  </r>
  <r>
    <d v="2020-05-25T00:00:00"/>
    <x v="11"/>
    <m/>
    <m/>
    <n v="20"/>
    <n v="1899"/>
    <n v="1738"/>
    <x v="0"/>
    <x v="0"/>
  </r>
  <r>
    <d v="2020-05-25T00:00:00"/>
    <x v="13"/>
    <m/>
    <m/>
    <n v="54"/>
    <n v="12336"/>
    <n v="11519"/>
    <x v="0"/>
    <x v="0"/>
  </r>
  <r>
    <d v="2020-05-25T00:00:00"/>
    <x v="12"/>
    <m/>
    <m/>
    <n v="59"/>
    <n v="12983"/>
    <n v="12056"/>
    <x v="0"/>
    <x v="0"/>
  </r>
  <r>
    <d v="2020-05-25T00:00:00"/>
    <x v="4"/>
    <m/>
    <m/>
    <n v="20"/>
    <n v="2011"/>
    <n v="1791"/>
    <x v="0"/>
    <x v="0"/>
  </r>
  <r>
    <d v="2020-05-25T00:00:00"/>
    <x v="14"/>
    <m/>
    <m/>
    <n v="18"/>
    <n v="989"/>
    <n v="887"/>
    <x v="0"/>
    <x v="0"/>
  </r>
  <r>
    <d v="2020-05-25T00:00:00"/>
    <x v="9"/>
    <m/>
    <m/>
    <n v="17"/>
    <n v="1142"/>
    <n v="1020"/>
    <x v="0"/>
    <x v="0"/>
  </r>
  <r>
    <d v="2020-05-25T00:00:00"/>
    <x v="10"/>
    <m/>
    <m/>
    <n v="15"/>
    <n v="835"/>
    <n v="736"/>
    <x v="0"/>
    <x v="0"/>
  </r>
  <r>
    <d v="2020-05-25T00:00:00"/>
    <x v="6"/>
    <m/>
    <m/>
    <n v="124"/>
    <n v="20358"/>
    <n v="18890"/>
    <x v="0"/>
    <x v="0"/>
  </r>
  <r>
    <d v="2020-05-25T00:00:00"/>
    <x v="5"/>
    <m/>
    <m/>
    <n v="129"/>
    <n v="15822"/>
    <n v="14753"/>
    <x v="0"/>
    <x v="0"/>
  </r>
  <r>
    <d v="2020-05-25T00:00:00"/>
    <x v="3"/>
    <m/>
    <m/>
    <n v="10"/>
    <n v="739"/>
    <n v="642"/>
    <x v="0"/>
    <x v="0"/>
  </r>
  <r>
    <d v="2020-05-26T00:00:00"/>
    <x v="7"/>
    <m/>
    <m/>
    <n v="36"/>
    <n v="4770"/>
    <n v="4424"/>
    <x v="0"/>
    <x v="0"/>
  </r>
  <r>
    <d v="2020-05-26T00:00:00"/>
    <x v="2"/>
    <m/>
    <m/>
    <n v="31"/>
    <n v="5493"/>
    <n v="5119"/>
    <x v="0"/>
    <x v="0"/>
  </r>
  <r>
    <d v="2020-05-26T00:00:00"/>
    <x v="8"/>
    <m/>
    <m/>
    <n v="21"/>
    <n v="2418"/>
    <n v="2215"/>
    <x v="0"/>
    <x v="0"/>
  </r>
  <r>
    <d v="2020-05-26T00:00:00"/>
    <x v="1"/>
    <m/>
    <m/>
    <n v="20"/>
    <n v="2044"/>
    <n v="1863"/>
    <x v="0"/>
    <x v="0"/>
  </r>
  <r>
    <d v="2020-05-26T00:00:00"/>
    <x v="11"/>
    <m/>
    <m/>
    <n v="20"/>
    <n v="1814"/>
    <n v="1655"/>
    <x v="0"/>
    <x v="0"/>
  </r>
  <r>
    <d v="2020-05-26T00:00:00"/>
    <x v="13"/>
    <m/>
    <m/>
    <n v="54"/>
    <n v="14482"/>
    <n v="13510"/>
    <x v="0"/>
    <x v="0"/>
  </r>
  <r>
    <d v="2020-05-26T00:00:00"/>
    <x v="12"/>
    <m/>
    <m/>
    <n v="59"/>
    <n v="15369"/>
    <n v="14299"/>
    <x v="0"/>
    <x v="0"/>
  </r>
  <r>
    <d v="2020-05-26T00:00:00"/>
    <x v="4"/>
    <m/>
    <m/>
    <n v="20"/>
    <n v="2036"/>
    <n v="1790"/>
    <x v="0"/>
    <x v="0"/>
  </r>
  <r>
    <d v="2020-05-26T00:00:00"/>
    <x v="14"/>
    <m/>
    <m/>
    <n v="18"/>
    <n v="914"/>
    <n v="804"/>
    <x v="0"/>
    <x v="0"/>
  </r>
  <r>
    <d v="2020-05-26T00:00:00"/>
    <x v="9"/>
    <m/>
    <m/>
    <n v="17"/>
    <n v="1140"/>
    <n v="1016"/>
    <x v="0"/>
    <x v="0"/>
  </r>
  <r>
    <d v="2020-05-26T00:00:00"/>
    <x v="10"/>
    <m/>
    <m/>
    <n v="15"/>
    <n v="812"/>
    <n v="711"/>
    <x v="0"/>
    <x v="0"/>
  </r>
  <r>
    <d v="2020-05-26T00:00:00"/>
    <x v="6"/>
    <m/>
    <m/>
    <n v="124"/>
    <n v="21153"/>
    <n v="19673"/>
    <x v="0"/>
    <x v="0"/>
  </r>
  <r>
    <d v="2020-05-26T00:00:00"/>
    <x v="5"/>
    <m/>
    <m/>
    <n v="129"/>
    <n v="16459"/>
    <n v="15355"/>
    <x v="0"/>
    <x v="0"/>
  </r>
  <r>
    <d v="2020-05-26T00:00:00"/>
    <x v="3"/>
    <m/>
    <m/>
    <n v="10"/>
    <n v="692"/>
    <n v="601"/>
    <x v="0"/>
    <x v="0"/>
  </r>
  <r>
    <d v="2020-05-26T00:00:00"/>
    <x v="15"/>
    <m/>
    <m/>
    <n v="7"/>
    <n v="577"/>
    <n v="389"/>
    <x v="0"/>
    <x v="0"/>
  </r>
  <r>
    <d v="2020-05-27T00:00:00"/>
    <x v="7"/>
    <m/>
    <m/>
    <n v="36"/>
    <n v="4951"/>
    <n v="4584"/>
    <x v="0"/>
    <x v="0"/>
  </r>
  <r>
    <d v="2020-05-27T00:00:00"/>
    <x v="2"/>
    <m/>
    <m/>
    <n v="31"/>
    <n v="5330"/>
    <n v="4977"/>
    <x v="0"/>
    <x v="0"/>
  </r>
  <r>
    <d v="2020-05-27T00:00:00"/>
    <x v="8"/>
    <m/>
    <m/>
    <n v="21"/>
    <n v="2430"/>
    <n v="2216"/>
    <x v="0"/>
    <x v="0"/>
  </r>
  <r>
    <d v="2020-05-27T00:00:00"/>
    <x v="1"/>
    <m/>
    <m/>
    <n v="20"/>
    <n v="2079"/>
    <n v="1893"/>
    <x v="0"/>
    <x v="0"/>
  </r>
  <r>
    <d v="2020-05-27T00:00:00"/>
    <x v="11"/>
    <m/>
    <m/>
    <n v="20"/>
    <n v="1873"/>
    <n v="1715"/>
    <x v="0"/>
    <x v="0"/>
  </r>
  <r>
    <d v="2020-05-27T00:00:00"/>
    <x v="13"/>
    <m/>
    <m/>
    <n v="54"/>
    <n v="13091"/>
    <n v="12216"/>
    <x v="0"/>
    <x v="0"/>
  </r>
  <r>
    <d v="2020-05-27T00:00:00"/>
    <x v="12"/>
    <m/>
    <m/>
    <n v="59"/>
    <n v="13942"/>
    <n v="12986"/>
    <x v="0"/>
    <x v="0"/>
  </r>
  <r>
    <d v="2020-05-27T00:00:00"/>
    <x v="4"/>
    <m/>
    <m/>
    <n v="20"/>
    <n v="2079"/>
    <n v="1856"/>
    <x v="0"/>
    <x v="0"/>
  </r>
  <r>
    <d v="2020-05-27T00:00:00"/>
    <x v="14"/>
    <m/>
    <m/>
    <n v="18"/>
    <n v="962"/>
    <n v="859"/>
    <x v="0"/>
    <x v="0"/>
  </r>
  <r>
    <d v="2020-05-27T00:00:00"/>
    <x v="9"/>
    <m/>
    <m/>
    <n v="17"/>
    <n v="1203"/>
    <n v="1077"/>
    <x v="0"/>
    <x v="0"/>
  </r>
  <r>
    <d v="2020-05-27T00:00:00"/>
    <x v="10"/>
    <m/>
    <m/>
    <n v="15"/>
    <n v="809"/>
    <n v="702"/>
    <x v="0"/>
    <x v="0"/>
  </r>
  <r>
    <d v="2020-05-27T00:00:00"/>
    <x v="6"/>
    <m/>
    <m/>
    <n v="124"/>
    <n v="21384"/>
    <n v="19897"/>
    <x v="0"/>
    <x v="0"/>
  </r>
  <r>
    <d v="2020-05-27T00:00:00"/>
    <x v="5"/>
    <m/>
    <m/>
    <n v="129"/>
    <n v="17115"/>
    <n v="15962"/>
    <x v="0"/>
    <x v="0"/>
  </r>
  <r>
    <d v="2020-05-27T00:00:00"/>
    <x v="3"/>
    <m/>
    <m/>
    <n v="10"/>
    <n v="757"/>
    <n v="660"/>
    <x v="0"/>
    <x v="0"/>
  </r>
  <r>
    <d v="2020-05-27T00:00:00"/>
    <x v="15"/>
    <m/>
    <m/>
    <n v="7"/>
    <n v="409"/>
    <n v="329"/>
    <x v="0"/>
    <x v="0"/>
  </r>
  <r>
    <d v="2020-05-28T00:00:00"/>
    <x v="7"/>
    <m/>
    <m/>
    <n v="37"/>
    <n v="4840"/>
    <n v="4475"/>
    <x v="0"/>
    <x v="0"/>
  </r>
  <r>
    <d v="2020-05-28T00:00:00"/>
    <x v="2"/>
    <m/>
    <m/>
    <n v="31"/>
    <n v="5355"/>
    <n v="4969"/>
    <x v="0"/>
    <x v="0"/>
  </r>
  <r>
    <d v="2020-05-28T00:00:00"/>
    <x v="8"/>
    <m/>
    <m/>
    <n v="22"/>
    <n v="2454"/>
    <n v="2239"/>
    <x v="0"/>
    <x v="0"/>
  </r>
  <r>
    <d v="2020-05-28T00:00:00"/>
    <x v="1"/>
    <m/>
    <m/>
    <n v="20"/>
    <n v="1886"/>
    <n v="1736"/>
    <x v="0"/>
    <x v="0"/>
  </r>
  <r>
    <d v="2020-05-28T00:00:00"/>
    <x v="11"/>
    <m/>
    <m/>
    <n v="20"/>
    <n v="1875"/>
    <n v="1701"/>
    <x v="0"/>
    <x v="0"/>
  </r>
  <r>
    <d v="2020-05-28T00:00:00"/>
    <x v="13"/>
    <m/>
    <m/>
    <n v="54"/>
    <n v="12409"/>
    <n v="11582"/>
    <x v="0"/>
    <x v="0"/>
  </r>
  <r>
    <d v="2020-05-28T00:00:00"/>
    <x v="12"/>
    <m/>
    <m/>
    <n v="60"/>
    <n v="12854"/>
    <n v="11954"/>
    <x v="0"/>
    <x v="0"/>
  </r>
  <r>
    <d v="2020-05-28T00:00:00"/>
    <x v="4"/>
    <m/>
    <m/>
    <n v="20"/>
    <n v="2088"/>
    <n v="1848"/>
    <x v="0"/>
    <x v="0"/>
  </r>
  <r>
    <d v="2020-05-28T00:00:00"/>
    <x v="14"/>
    <m/>
    <m/>
    <n v="18"/>
    <n v="1020"/>
    <n v="911"/>
    <x v="0"/>
    <x v="0"/>
  </r>
  <r>
    <d v="2020-05-28T00:00:00"/>
    <x v="9"/>
    <m/>
    <m/>
    <n v="17"/>
    <n v="1097"/>
    <n v="968"/>
    <x v="0"/>
    <x v="0"/>
  </r>
  <r>
    <d v="2020-05-28T00:00:00"/>
    <x v="10"/>
    <m/>
    <m/>
    <n v="16"/>
    <n v="876"/>
    <n v="762"/>
    <x v="0"/>
    <x v="0"/>
  </r>
  <r>
    <d v="2020-05-28T00:00:00"/>
    <x v="0"/>
    <m/>
    <m/>
    <n v="15"/>
    <n v="464"/>
    <n v="390"/>
    <x v="0"/>
    <x v="0"/>
  </r>
  <r>
    <d v="2020-05-28T00:00:00"/>
    <x v="6"/>
    <m/>
    <m/>
    <n v="124"/>
    <n v="20868"/>
    <n v="19342"/>
    <x v="0"/>
    <x v="0"/>
  </r>
  <r>
    <d v="2020-05-28T00:00:00"/>
    <x v="5"/>
    <m/>
    <m/>
    <n v="129"/>
    <n v="16453"/>
    <n v="15289"/>
    <x v="0"/>
    <x v="0"/>
  </r>
  <r>
    <d v="2020-05-28T00:00:00"/>
    <x v="3"/>
    <m/>
    <m/>
    <n v="10"/>
    <n v="791"/>
    <n v="697"/>
    <x v="0"/>
    <x v="0"/>
  </r>
  <r>
    <d v="2020-05-28T00:00:00"/>
    <x v="15"/>
    <m/>
    <m/>
    <n v="7"/>
    <n v="420"/>
    <n v="347"/>
    <x v="0"/>
    <x v="0"/>
  </r>
  <r>
    <d v="2020-05-29T00:00:00"/>
    <x v="7"/>
    <m/>
    <m/>
    <n v="37"/>
    <n v="5672"/>
    <n v="5198"/>
    <x v="0"/>
    <x v="0"/>
  </r>
  <r>
    <d v="2020-05-29T00:00:00"/>
    <x v="2"/>
    <m/>
    <m/>
    <n v="31"/>
    <n v="5751"/>
    <n v="5319"/>
    <x v="0"/>
    <x v="0"/>
  </r>
  <r>
    <d v="2020-05-29T00:00:00"/>
    <x v="8"/>
    <m/>
    <m/>
    <n v="22"/>
    <n v="2597"/>
    <n v="2379"/>
    <x v="0"/>
    <x v="0"/>
  </r>
  <r>
    <d v="2020-05-29T00:00:00"/>
    <x v="1"/>
    <m/>
    <m/>
    <n v="20"/>
    <n v="2111"/>
    <n v="1917"/>
    <x v="0"/>
    <x v="0"/>
  </r>
  <r>
    <d v="2020-05-29T00:00:00"/>
    <x v="11"/>
    <m/>
    <m/>
    <n v="20"/>
    <n v="2064"/>
    <n v="1896"/>
    <x v="0"/>
    <x v="0"/>
  </r>
  <r>
    <d v="2020-05-29T00:00:00"/>
    <x v="13"/>
    <m/>
    <m/>
    <n v="54"/>
    <n v="14031"/>
    <n v="12943"/>
    <x v="0"/>
    <x v="0"/>
  </r>
  <r>
    <d v="2020-05-29T00:00:00"/>
    <x v="12"/>
    <m/>
    <m/>
    <n v="59"/>
    <n v="14507"/>
    <n v="13386"/>
    <x v="0"/>
    <x v="0"/>
  </r>
  <r>
    <d v="2020-05-29T00:00:00"/>
    <x v="4"/>
    <m/>
    <m/>
    <n v="20"/>
    <n v="2249"/>
    <n v="2000"/>
    <x v="0"/>
    <x v="0"/>
  </r>
  <r>
    <d v="2020-05-29T00:00:00"/>
    <x v="14"/>
    <m/>
    <m/>
    <n v="18"/>
    <n v="1014"/>
    <n v="893"/>
    <x v="0"/>
    <x v="0"/>
  </r>
  <r>
    <d v="2020-05-29T00:00:00"/>
    <x v="9"/>
    <m/>
    <m/>
    <n v="17"/>
    <n v="1296"/>
    <n v="1153"/>
    <x v="0"/>
    <x v="0"/>
  </r>
  <r>
    <d v="2020-05-29T00:00:00"/>
    <x v="10"/>
    <m/>
    <m/>
    <n v="16"/>
    <n v="981"/>
    <n v="859"/>
    <x v="0"/>
    <x v="0"/>
  </r>
  <r>
    <d v="2020-05-29T00:00:00"/>
    <x v="0"/>
    <m/>
    <m/>
    <n v="15"/>
    <n v="400"/>
    <n v="329"/>
    <x v="0"/>
    <x v="0"/>
  </r>
  <r>
    <d v="2020-05-29T00:00:00"/>
    <x v="6"/>
    <m/>
    <m/>
    <n v="124"/>
    <n v="25828"/>
    <n v="23974"/>
    <x v="0"/>
    <x v="0"/>
  </r>
  <r>
    <d v="2020-05-29T00:00:00"/>
    <x v="5"/>
    <m/>
    <m/>
    <n v="129"/>
    <n v="22403"/>
    <n v="20676"/>
    <x v="0"/>
    <x v="0"/>
  </r>
  <r>
    <d v="2020-05-29T00:00:00"/>
    <x v="3"/>
    <m/>
    <m/>
    <n v="10"/>
    <n v="873"/>
    <n v="770"/>
    <x v="0"/>
    <x v="0"/>
  </r>
  <r>
    <d v="2020-05-29T00:00:00"/>
    <x v="15"/>
    <m/>
    <m/>
    <n v="7"/>
    <n v="491"/>
    <n v="411"/>
    <x v="0"/>
    <x v="0"/>
  </r>
  <r>
    <d v="2020-05-30T00:00:00"/>
    <x v="7"/>
    <m/>
    <m/>
    <n v="37"/>
    <n v="6645"/>
    <n v="6122"/>
    <x v="0"/>
    <x v="0"/>
  </r>
  <r>
    <d v="2020-05-30T00:00:00"/>
    <x v="2"/>
    <m/>
    <m/>
    <n v="31"/>
    <n v="6735"/>
    <n v="6264"/>
    <x v="0"/>
    <x v="0"/>
  </r>
  <r>
    <d v="2020-05-30T00:00:00"/>
    <x v="8"/>
    <m/>
    <m/>
    <n v="22"/>
    <n v="2793"/>
    <n v="2539"/>
    <x v="0"/>
    <x v="0"/>
  </r>
  <r>
    <d v="2020-05-30T00:00:00"/>
    <x v="1"/>
    <m/>
    <m/>
    <n v="20"/>
    <n v="2597"/>
    <n v="2376"/>
    <x v="0"/>
    <x v="0"/>
  </r>
  <r>
    <d v="2020-05-30T00:00:00"/>
    <x v="11"/>
    <m/>
    <m/>
    <n v="20"/>
    <n v="2174"/>
    <n v="1957"/>
    <x v="0"/>
    <x v="0"/>
  </r>
  <r>
    <d v="2020-05-30T00:00:00"/>
    <x v="13"/>
    <m/>
    <m/>
    <n v="54"/>
    <n v="14590"/>
    <n v="13551"/>
    <x v="0"/>
    <x v="0"/>
  </r>
  <r>
    <d v="2020-05-30T00:00:00"/>
    <x v="12"/>
    <m/>
    <m/>
    <n v="59"/>
    <n v="15030"/>
    <n v="13956"/>
    <x v="0"/>
    <x v="0"/>
  </r>
  <r>
    <d v="2020-05-30T00:00:00"/>
    <x v="4"/>
    <m/>
    <m/>
    <n v="20"/>
    <n v="2451"/>
    <n v="2178"/>
    <x v="0"/>
    <x v="0"/>
  </r>
  <r>
    <d v="2020-05-30T00:00:00"/>
    <x v="14"/>
    <m/>
    <m/>
    <n v="18"/>
    <n v="1216"/>
    <n v="1101"/>
    <x v="0"/>
    <x v="0"/>
  </r>
  <r>
    <d v="2020-05-30T00:00:00"/>
    <x v="9"/>
    <m/>
    <m/>
    <n v="17"/>
    <n v="1697"/>
    <n v="1499"/>
    <x v="0"/>
    <x v="0"/>
  </r>
  <r>
    <d v="2020-05-30T00:00:00"/>
    <x v="10"/>
    <m/>
    <m/>
    <n v="16"/>
    <n v="1048"/>
    <n v="918"/>
    <x v="0"/>
    <x v="0"/>
  </r>
  <r>
    <d v="2020-05-30T00:00:00"/>
    <x v="0"/>
    <m/>
    <m/>
    <n v="15"/>
    <n v="490"/>
    <n v="409"/>
    <x v="0"/>
    <x v="0"/>
  </r>
  <r>
    <d v="2020-05-30T00:00:00"/>
    <x v="6"/>
    <m/>
    <m/>
    <n v="124"/>
    <n v="24325"/>
    <n v="22469"/>
    <x v="0"/>
    <x v="0"/>
  </r>
  <r>
    <d v="2020-05-30T00:00:00"/>
    <x v="5"/>
    <m/>
    <m/>
    <n v="129"/>
    <n v="20243"/>
    <n v="18711"/>
    <x v="0"/>
    <x v="0"/>
  </r>
  <r>
    <d v="2020-05-30T00:00:00"/>
    <x v="3"/>
    <m/>
    <m/>
    <n v="10"/>
    <n v="865"/>
    <n v="763"/>
    <x v="0"/>
    <x v="0"/>
  </r>
  <r>
    <d v="2020-05-30T00:00:00"/>
    <x v="15"/>
    <m/>
    <m/>
    <n v="7"/>
    <n v="532"/>
    <n v="449"/>
    <x v="0"/>
    <x v="0"/>
  </r>
  <r>
    <d v="2020-05-31T00:00:00"/>
    <x v="7"/>
    <m/>
    <m/>
    <n v="37"/>
    <n v="5215"/>
    <n v="4848"/>
    <x v="0"/>
    <x v="0"/>
  </r>
  <r>
    <d v="2020-05-31T00:00:00"/>
    <x v="2"/>
    <m/>
    <m/>
    <n v="31"/>
    <n v="5760"/>
    <n v="5367"/>
    <x v="0"/>
    <x v="0"/>
  </r>
  <r>
    <d v="2020-05-31T00:00:00"/>
    <x v="8"/>
    <m/>
    <m/>
    <n v="23"/>
    <n v="2522"/>
    <n v="2295"/>
    <x v="0"/>
    <x v="0"/>
  </r>
  <r>
    <d v="2020-05-31T00:00:00"/>
    <x v="1"/>
    <m/>
    <m/>
    <n v="21"/>
    <n v="2271"/>
    <n v="2085"/>
    <x v="0"/>
    <x v="0"/>
  </r>
  <r>
    <d v="2020-05-31T00:00:00"/>
    <x v="11"/>
    <m/>
    <m/>
    <n v="21"/>
    <n v="2056"/>
    <n v="1879"/>
    <x v="0"/>
    <x v="0"/>
  </r>
  <r>
    <d v="2020-05-31T00:00:00"/>
    <x v="13"/>
    <m/>
    <m/>
    <n v="54"/>
    <n v="13106"/>
    <n v="12164"/>
    <x v="0"/>
    <x v="0"/>
  </r>
  <r>
    <d v="2020-05-31T00:00:00"/>
    <x v="12"/>
    <m/>
    <m/>
    <n v="59"/>
    <n v="13684"/>
    <n v="12690"/>
    <x v="0"/>
    <x v="0"/>
  </r>
  <r>
    <d v="2020-05-31T00:00:00"/>
    <x v="4"/>
    <m/>
    <m/>
    <n v="20"/>
    <n v="2060"/>
    <n v="1826"/>
    <x v="0"/>
    <x v="0"/>
  </r>
  <r>
    <d v="2020-05-31T00:00:00"/>
    <x v="14"/>
    <m/>
    <m/>
    <n v="18"/>
    <n v="1029"/>
    <n v="925"/>
    <x v="0"/>
    <x v="0"/>
  </r>
  <r>
    <d v="2020-05-31T00:00:00"/>
    <x v="9"/>
    <m/>
    <m/>
    <n v="17"/>
    <n v="1186"/>
    <n v="1054"/>
    <x v="0"/>
    <x v="0"/>
  </r>
  <r>
    <d v="2020-05-31T00:00:00"/>
    <x v="10"/>
    <m/>
    <m/>
    <n v="16"/>
    <n v="917"/>
    <n v="802"/>
    <x v="0"/>
    <x v="0"/>
  </r>
  <r>
    <d v="2020-05-31T00:00:00"/>
    <x v="0"/>
    <m/>
    <m/>
    <n v="15"/>
    <n v="441"/>
    <n v="368"/>
    <x v="0"/>
    <x v="0"/>
  </r>
  <r>
    <d v="2020-05-31T00:00:00"/>
    <x v="6"/>
    <m/>
    <m/>
    <n v="124"/>
    <n v="21392"/>
    <n v="19869"/>
    <x v="0"/>
    <x v="0"/>
  </r>
  <r>
    <d v="2020-05-31T00:00:00"/>
    <x v="5"/>
    <m/>
    <m/>
    <n v="129"/>
    <n v="17235"/>
    <n v="16052"/>
    <x v="0"/>
    <x v="0"/>
  </r>
  <r>
    <d v="2020-05-31T00:00:00"/>
    <x v="3"/>
    <m/>
    <m/>
    <n v="10"/>
    <n v="749"/>
    <n v="655"/>
    <x v="0"/>
    <x v="0"/>
  </r>
  <r>
    <d v="2020-05-31T00:00:00"/>
    <x v="16"/>
    <m/>
    <m/>
    <n v="9"/>
    <n v="345"/>
    <n v="255"/>
    <x v="0"/>
    <x v="0"/>
  </r>
  <r>
    <d v="2020-05-31T00:00:00"/>
    <x v="15"/>
    <m/>
    <m/>
    <n v="7"/>
    <n v="530"/>
    <n v="447"/>
    <x v="0"/>
    <x v="0"/>
  </r>
  <r>
    <d v="2020-05-31T00:00:00"/>
    <x v="17"/>
    <m/>
    <m/>
    <n v="6"/>
    <n v="261"/>
    <n v="188"/>
    <x v="0"/>
    <x v="0"/>
  </r>
  <r>
    <d v="2020-06-01T00:00:00"/>
    <x v="7"/>
    <m/>
    <m/>
    <n v="37"/>
    <n v="4722"/>
    <n v="4352"/>
    <x v="0"/>
    <x v="5"/>
  </r>
  <r>
    <d v="2020-06-01T00:00:00"/>
    <x v="2"/>
    <m/>
    <m/>
    <n v="31"/>
    <n v="5468"/>
    <n v="5081"/>
    <x v="0"/>
    <x v="5"/>
  </r>
  <r>
    <d v="2020-06-01T00:00:00"/>
    <x v="8"/>
    <m/>
    <m/>
    <n v="23"/>
    <n v="2531"/>
    <n v="2296"/>
    <x v="0"/>
    <x v="5"/>
  </r>
  <r>
    <d v="2020-06-01T00:00:00"/>
    <x v="1"/>
    <m/>
    <m/>
    <n v="21"/>
    <n v="2025"/>
    <n v="1849"/>
    <x v="0"/>
    <x v="5"/>
  </r>
  <r>
    <d v="2020-06-01T00:00:00"/>
    <x v="11"/>
    <m/>
    <m/>
    <n v="21"/>
    <n v="1879"/>
    <n v="1720"/>
    <x v="0"/>
    <x v="5"/>
  </r>
  <r>
    <d v="2020-06-01T00:00:00"/>
    <x v="13"/>
    <m/>
    <m/>
    <n v="54"/>
    <n v="11864"/>
    <n v="11071"/>
    <x v="0"/>
    <x v="5"/>
  </r>
  <r>
    <d v="2020-06-01T00:00:00"/>
    <x v="12"/>
    <m/>
    <m/>
    <n v="59"/>
    <n v="12299"/>
    <n v="11448"/>
    <x v="0"/>
    <x v="5"/>
  </r>
  <r>
    <d v="2020-06-01T00:00:00"/>
    <x v="4"/>
    <m/>
    <m/>
    <n v="20"/>
    <n v="2136"/>
    <n v="1899"/>
    <x v="0"/>
    <x v="5"/>
  </r>
  <r>
    <d v="2020-06-01T00:00:00"/>
    <x v="14"/>
    <m/>
    <m/>
    <n v="18"/>
    <n v="923"/>
    <n v="824"/>
    <x v="0"/>
    <x v="5"/>
  </r>
  <r>
    <d v="2020-06-01T00:00:00"/>
    <x v="9"/>
    <m/>
    <m/>
    <n v="17"/>
    <n v="1185"/>
    <n v="1042"/>
    <x v="0"/>
    <x v="5"/>
  </r>
  <r>
    <d v="2020-06-01T00:00:00"/>
    <x v="10"/>
    <m/>
    <m/>
    <n v="16"/>
    <n v="1019"/>
    <n v="895"/>
    <x v="0"/>
    <x v="5"/>
  </r>
  <r>
    <d v="2020-06-01T00:00:00"/>
    <x v="0"/>
    <m/>
    <m/>
    <n v="15"/>
    <n v="453"/>
    <n v="370"/>
    <x v="0"/>
    <x v="5"/>
  </r>
  <r>
    <d v="2020-06-01T00:00:00"/>
    <x v="6"/>
    <m/>
    <m/>
    <n v="123"/>
    <n v="20325"/>
    <n v="18935"/>
    <x v="0"/>
    <x v="5"/>
  </r>
  <r>
    <d v="2020-06-01T00:00:00"/>
    <x v="5"/>
    <m/>
    <m/>
    <n v="128"/>
    <n v="16285"/>
    <n v="15130"/>
    <x v="0"/>
    <x v="5"/>
  </r>
  <r>
    <d v="2020-06-01T00:00:00"/>
    <x v="3"/>
    <m/>
    <m/>
    <n v="10"/>
    <n v="719"/>
    <n v="627"/>
    <x v="0"/>
    <x v="5"/>
  </r>
  <r>
    <d v="2020-06-01T00:00:00"/>
    <x v="16"/>
    <m/>
    <m/>
    <n v="9"/>
    <n v="294"/>
    <n v="224"/>
    <x v="0"/>
    <x v="5"/>
  </r>
  <r>
    <d v="2020-06-01T00:00:00"/>
    <x v="15"/>
    <m/>
    <m/>
    <n v="7"/>
    <n v="500"/>
    <n v="418"/>
    <x v="0"/>
    <x v="5"/>
  </r>
  <r>
    <d v="2020-06-01T00:00:00"/>
    <x v="17"/>
    <m/>
    <m/>
    <n v="6"/>
    <n v="237"/>
    <n v="175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51E0A-16D2-4BE7-9A30-688BC5846C1E}" name="Сводная таблица1" cacheId="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T11" firstHeaderRow="1" firstDataRow="2" firstDataCol="1"/>
  <pivotFields count="9">
    <pivotField numFmtId="165" showAll="0"/>
    <pivotField axis="axisCol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Товарооборот, руб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3CCAA-4BDD-4BAF-BF8E-E5C058F5114B}" name="Сводная таблица2" cacheId="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C22" firstHeaderRow="0" firstDataRow="1" firstDataCol="1"/>
  <pivotFields count="9">
    <pivotField numFmtId="165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Количество по полю Товарооборот на склад" fld="7" subtotal="count" baseField="0" baseItem="0"/>
  </dataFields>
  <formats count="1">
    <format dxfId="7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5CDAC-BAC0-477C-9085-A7BB40A0AB1D}" name="Сводная таблица3" cacheId="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3:C10" firstHeaderRow="0" firstDataRow="1" firstDataCol="1"/>
  <pivotFields count="9">
    <pivotField numFmtId="165" showAll="0"/>
    <pivotField showAll="0"/>
    <pivotField showAll="0"/>
    <pivotField dataField="1" showAll="0"/>
    <pivotField showAll="0"/>
    <pivotField showAll="0"/>
    <pivotField showAll="0"/>
    <pivotField dataField="1" showAll="0">
      <items count="2">
        <item x="0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9FF5-5455-4045-8A6A-0978A90481C1}">
  <dimension ref="A1:I1009"/>
  <sheetViews>
    <sheetView workbookViewId="0">
      <selection activeCell="E22" sqref="E22"/>
    </sheetView>
  </sheetViews>
  <sheetFormatPr defaultRowHeight="15" x14ac:dyDescent="0.25"/>
  <cols>
    <col min="1" max="1" width="18.28515625" style="3" bestFit="1" customWidth="1"/>
    <col min="2" max="2" width="22.85546875" style="3" bestFit="1" customWidth="1"/>
    <col min="3" max="3" width="17.7109375" style="3" bestFit="1" customWidth="1"/>
    <col min="4" max="4" width="18.5703125" style="3" bestFit="1" customWidth="1"/>
    <col min="5" max="5" width="19.7109375" style="3" bestFit="1" customWidth="1"/>
    <col min="6" max="6" width="19.140625" style="3" bestFit="1" customWidth="1"/>
    <col min="7" max="7" width="20.85546875" style="3" bestFit="1" customWidth="1"/>
    <col min="8" max="8" width="22.7109375" style="3" bestFit="1" customWidth="1"/>
    <col min="9" max="9" width="8" style="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43982</v>
      </c>
      <c r="B2" s="3" t="s">
        <v>9</v>
      </c>
      <c r="C2" s="3">
        <v>7944</v>
      </c>
      <c r="D2" s="3">
        <v>623971.5</v>
      </c>
      <c r="I2" s="3">
        <f>WEEKNUM(A2,2)</f>
        <v>22</v>
      </c>
    </row>
    <row r="3" spans="1:9" x14ac:dyDescent="0.25">
      <c r="A3" s="2">
        <v>43981</v>
      </c>
      <c r="B3" s="3" t="s">
        <v>9</v>
      </c>
      <c r="C3" s="3">
        <v>10029</v>
      </c>
      <c r="D3" s="3">
        <v>787101</v>
      </c>
      <c r="I3" s="3">
        <f t="shared" ref="I3:I66" si="0">WEEKNUM(A3,2)</f>
        <v>22</v>
      </c>
    </row>
    <row r="4" spans="1:9" x14ac:dyDescent="0.25">
      <c r="A4" s="2">
        <v>43979</v>
      </c>
      <c r="B4" s="3" t="s">
        <v>9</v>
      </c>
      <c r="C4" s="3">
        <v>8536.5</v>
      </c>
      <c r="D4" s="3">
        <v>643944</v>
      </c>
      <c r="I4" s="3">
        <f t="shared" si="0"/>
        <v>22</v>
      </c>
    </row>
    <row r="5" spans="1:9" x14ac:dyDescent="0.25">
      <c r="A5" s="2">
        <v>43967</v>
      </c>
      <c r="B5" s="3" t="s">
        <v>10</v>
      </c>
      <c r="C5" s="3">
        <v>38947.5</v>
      </c>
      <c r="D5" s="3">
        <v>3395892</v>
      </c>
      <c r="I5" s="3">
        <f t="shared" si="0"/>
        <v>20</v>
      </c>
    </row>
    <row r="6" spans="1:9" x14ac:dyDescent="0.25">
      <c r="A6" s="2">
        <v>43970</v>
      </c>
      <c r="B6" s="3" t="s">
        <v>10</v>
      </c>
      <c r="C6" s="3">
        <v>31842</v>
      </c>
      <c r="D6" s="3">
        <v>2771116.5</v>
      </c>
      <c r="I6" s="3">
        <f t="shared" si="0"/>
        <v>21</v>
      </c>
    </row>
    <row r="7" spans="1:9" x14ac:dyDescent="0.25">
      <c r="A7" s="2">
        <v>43968</v>
      </c>
      <c r="B7" s="3" t="s">
        <v>10</v>
      </c>
      <c r="C7" s="3">
        <v>32023.5</v>
      </c>
      <c r="D7" s="3">
        <v>2882458.5</v>
      </c>
      <c r="I7" s="3">
        <f t="shared" si="0"/>
        <v>20</v>
      </c>
    </row>
    <row r="8" spans="1:9" x14ac:dyDescent="0.25">
      <c r="A8" s="2">
        <v>43960</v>
      </c>
      <c r="B8" s="3" t="s">
        <v>10</v>
      </c>
      <c r="C8" s="3">
        <v>31147.5</v>
      </c>
      <c r="D8" s="3">
        <v>2831019</v>
      </c>
      <c r="I8" s="3">
        <f t="shared" si="0"/>
        <v>19</v>
      </c>
    </row>
    <row r="9" spans="1:9" x14ac:dyDescent="0.25">
      <c r="A9" s="2">
        <v>43955</v>
      </c>
      <c r="B9" s="3" t="s">
        <v>10</v>
      </c>
      <c r="C9" s="3">
        <v>25566</v>
      </c>
      <c r="D9" s="3">
        <v>2372310</v>
      </c>
      <c r="I9" s="3">
        <f t="shared" si="0"/>
        <v>19</v>
      </c>
    </row>
    <row r="10" spans="1:9" x14ac:dyDescent="0.25">
      <c r="A10" s="2">
        <v>43950</v>
      </c>
      <c r="B10" s="3" t="s">
        <v>10</v>
      </c>
      <c r="C10" s="3">
        <v>29319</v>
      </c>
      <c r="D10" s="3">
        <v>2623480.5</v>
      </c>
      <c r="I10" s="3">
        <f t="shared" si="0"/>
        <v>18</v>
      </c>
    </row>
    <row r="11" spans="1:9" x14ac:dyDescent="0.25">
      <c r="A11" s="2">
        <v>43953</v>
      </c>
      <c r="B11" s="3" t="s">
        <v>10</v>
      </c>
      <c r="C11" s="3">
        <v>29031</v>
      </c>
      <c r="D11" s="3">
        <v>2711247</v>
      </c>
      <c r="I11" s="3">
        <f t="shared" si="0"/>
        <v>18</v>
      </c>
    </row>
    <row r="12" spans="1:9" x14ac:dyDescent="0.25">
      <c r="A12" s="2">
        <v>43977</v>
      </c>
      <c r="B12" s="3" t="s">
        <v>10</v>
      </c>
      <c r="C12" s="3">
        <v>33423</v>
      </c>
      <c r="D12" s="3">
        <v>2970330</v>
      </c>
      <c r="I12" s="3">
        <f t="shared" si="0"/>
        <v>22</v>
      </c>
    </row>
    <row r="13" spans="1:9" x14ac:dyDescent="0.25">
      <c r="A13" s="2">
        <v>43952</v>
      </c>
      <c r="B13" s="3" t="s">
        <v>10</v>
      </c>
      <c r="C13" s="3">
        <v>32487</v>
      </c>
      <c r="D13" s="3">
        <v>3031254</v>
      </c>
      <c r="I13" s="3">
        <f t="shared" si="0"/>
        <v>18</v>
      </c>
    </row>
    <row r="14" spans="1:9" x14ac:dyDescent="0.25">
      <c r="A14" s="2">
        <v>43963</v>
      </c>
      <c r="B14" s="3" t="s">
        <v>10</v>
      </c>
      <c r="C14" s="3">
        <v>28219.5</v>
      </c>
      <c r="D14" s="3">
        <v>2595778.5</v>
      </c>
      <c r="I14" s="3">
        <f t="shared" si="0"/>
        <v>20</v>
      </c>
    </row>
    <row r="15" spans="1:9" x14ac:dyDescent="0.25">
      <c r="A15" s="2">
        <v>43972</v>
      </c>
      <c r="B15" s="3" t="s">
        <v>10</v>
      </c>
      <c r="C15" s="3">
        <v>31272</v>
      </c>
      <c r="D15" s="3">
        <v>2744382</v>
      </c>
      <c r="I15" s="3">
        <f t="shared" si="0"/>
        <v>21</v>
      </c>
    </row>
    <row r="16" spans="1:9" x14ac:dyDescent="0.25">
      <c r="A16" s="2">
        <v>43971</v>
      </c>
      <c r="B16" s="3" t="s">
        <v>10</v>
      </c>
      <c r="C16" s="3">
        <v>34077</v>
      </c>
      <c r="D16" s="3">
        <v>2929330.5</v>
      </c>
      <c r="I16" s="3">
        <f t="shared" si="0"/>
        <v>21</v>
      </c>
    </row>
    <row r="17" spans="1:9" x14ac:dyDescent="0.25">
      <c r="A17" s="2">
        <v>43956</v>
      </c>
      <c r="B17" s="3" t="s">
        <v>10</v>
      </c>
      <c r="C17" s="3">
        <v>31566</v>
      </c>
      <c r="D17" s="3">
        <v>2906763</v>
      </c>
      <c r="I17" s="3">
        <f t="shared" si="0"/>
        <v>19</v>
      </c>
    </row>
    <row r="18" spans="1:9" x14ac:dyDescent="0.25">
      <c r="A18" s="2">
        <v>43949</v>
      </c>
      <c r="B18" s="3" t="s">
        <v>10</v>
      </c>
      <c r="C18" s="3">
        <v>26940</v>
      </c>
      <c r="D18" s="3">
        <v>2411587.5</v>
      </c>
      <c r="I18" s="3">
        <f t="shared" si="0"/>
        <v>18</v>
      </c>
    </row>
    <row r="19" spans="1:9" x14ac:dyDescent="0.25">
      <c r="A19" s="2">
        <v>43964</v>
      </c>
      <c r="B19" s="3" t="s">
        <v>10</v>
      </c>
      <c r="C19" s="3">
        <v>29241</v>
      </c>
      <c r="D19" s="3">
        <v>2629782</v>
      </c>
      <c r="I19" s="3">
        <f t="shared" si="0"/>
        <v>20</v>
      </c>
    </row>
    <row r="20" spans="1:9" x14ac:dyDescent="0.25">
      <c r="A20" s="2">
        <v>43954</v>
      </c>
      <c r="B20" s="3" t="s">
        <v>10</v>
      </c>
      <c r="C20" s="3">
        <v>26082</v>
      </c>
      <c r="D20" s="3">
        <v>2434914</v>
      </c>
      <c r="I20" s="3">
        <f t="shared" si="0"/>
        <v>18</v>
      </c>
    </row>
    <row r="21" spans="1:9" x14ac:dyDescent="0.25">
      <c r="A21" s="2">
        <v>43957</v>
      </c>
      <c r="B21" s="3" t="s">
        <v>10</v>
      </c>
      <c r="C21" s="3">
        <v>32511</v>
      </c>
      <c r="D21" s="3">
        <v>2938623</v>
      </c>
      <c r="I21" s="3">
        <f t="shared" si="0"/>
        <v>19</v>
      </c>
    </row>
    <row r="22" spans="1:9" x14ac:dyDescent="0.25">
      <c r="A22" s="2">
        <v>43974</v>
      </c>
      <c r="B22" s="3" t="s">
        <v>10</v>
      </c>
      <c r="C22" s="3">
        <v>42703.5</v>
      </c>
      <c r="D22" s="3">
        <v>3628726.5</v>
      </c>
      <c r="I22" s="3">
        <f t="shared" si="0"/>
        <v>21</v>
      </c>
    </row>
    <row r="23" spans="1:9" x14ac:dyDescent="0.25">
      <c r="A23" s="2">
        <v>43976</v>
      </c>
      <c r="B23" s="3" t="s">
        <v>10</v>
      </c>
      <c r="C23" s="3">
        <v>35592</v>
      </c>
      <c r="D23" s="3">
        <v>3176580</v>
      </c>
      <c r="I23" s="3">
        <f t="shared" si="0"/>
        <v>22</v>
      </c>
    </row>
    <row r="24" spans="1:9" x14ac:dyDescent="0.25">
      <c r="A24" s="2">
        <v>43951</v>
      </c>
      <c r="B24" s="3" t="s">
        <v>10</v>
      </c>
      <c r="C24" s="3">
        <v>30445.5</v>
      </c>
      <c r="D24" s="3">
        <v>2817196.5</v>
      </c>
      <c r="I24" s="3">
        <f t="shared" si="0"/>
        <v>18</v>
      </c>
    </row>
    <row r="25" spans="1:9" x14ac:dyDescent="0.25">
      <c r="A25" s="2">
        <v>43961</v>
      </c>
      <c r="B25" s="3" t="s">
        <v>10</v>
      </c>
      <c r="C25" s="3">
        <v>36619.5</v>
      </c>
      <c r="D25" s="3">
        <v>3312967.5</v>
      </c>
      <c r="I25" s="3">
        <f t="shared" si="0"/>
        <v>19</v>
      </c>
    </row>
    <row r="26" spans="1:9" x14ac:dyDescent="0.25">
      <c r="A26" s="2">
        <v>43959</v>
      </c>
      <c r="B26" s="3" t="s">
        <v>10</v>
      </c>
      <c r="C26" s="3">
        <v>29409</v>
      </c>
      <c r="D26" s="3">
        <v>2645160</v>
      </c>
      <c r="I26" s="3">
        <f t="shared" si="0"/>
        <v>19</v>
      </c>
    </row>
    <row r="27" spans="1:9" x14ac:dyDescent="0.25">
      <c r="A27" s="2">
        <v>43958</v>
      </c>
      <c r="B27" s="3" t="s">
        <v>10</v>
      </c>
      <c r="C27" s="3">
        <v>27018</v>
      </c>
      <c r="D27" s="3">
        <v>2472213</v>
      </c>
      <c r="I27" s="3">
        <f t="shared" si="0"/>
        <v>19</v>
      </c>
    </row>
    <row r="28" spans="1:9" x14ac:dyDescent="0.25">
      <c r="A28" s="2">
        <v>43975</v>
      </c>
      <c r="B28" s="3" t="s">
        <v>10</v>
      </c>
      <c r="C28" s="3">
        <v>34303.5</v>
      </c>
      <c r="D28" s="3">
        <v>2924746.5</v>
      </c>
      <c r="I28" s="3">
        <f t="shared" si="0"/>
        <v>21</v>
      </c>
    </row>
    <row r="29" spans="1:9" x14ac:dyDescent="0.25">
      <c r="A29" s="2">
        <v>43982</v>
      </c>
      <c r="B29" s="3" t="s">
        <v>10</v>
      </c>
      <c r="C29" s="3">
        <v>36999</v>
      </c>
      <c r="D29" s="3">
        <v>3473895</v>
      </c>
      <c r="I29" s="3">
        <f t="shared" si="0"/>
        <v>22</v>
      </c>
    </row>
    <row r="30" spans="1:9" x14ac:dyDescent="0.25">
      <c r="A30" s="2">
        <v>43981</v>
      </c>
      <c r="B30" s="3" t="s">
        <v>10</v>
      </c>
      <c r="C30" s="3">
        <v>44001</v>
      </c>
      <c r="D30" s="3">
        <v>3921784.5</v>
      </c>
      <c r="I30" s="3">
        <f t="shared" si="0"/>
        <v>22</v>
      </c>
    </row>
    <row r="31" spans="1:9" x14ac:dyDescent="0.25">
      <c r="A31" s="2">
        <v>43979</v>
      </c>
      <c r="B31" s="3" t="s">
        <v>10</v>
      </c>
      <c r="C31" s="3">
        <v>30982.5</v>
      </c>
      <c r="D31" s="3">
        <v>2827773</v>
      </c>
      <c r="I31" s="3">
        <f t="shared" si="0"/>
        <v>22</v>
      </c>
    </row>
    <row r="32" spans="1:9" x14ac:dyDescent="0.25">
      <c r="A32" s="2">
        <v>43967</v>
      </c>
      <c r="B32" s="3" t="s">
        <v>11</v>
      </c>
      <c r="C32" s="3">
        <v>88063.5</v>
      </c>
      <c r="D32" s="3">
        <v>7583758.5</v>
      </c>
      <c r="I32" s="3">
        <f t="shared" si="0"/>
        <v>20</v>
      </c>
    </row>
    <row r="33" spans="1:9" x14ac:dyDescent="0.25">
      <c r="A33" s="2">
        <v>43970</v>
      </c>
      <c r="B33" s="3" t="s">
        <v>11</v>
      </c>
      <c r="C33" s="3">
        <v>84024</v>
      </c>
      <c r="D33" s="3">
        <v>6815511</v>
      </c>
      <c r="I33" s="3">
        <f t="shared" si="0"/>
        <v>21</v>
      </c>
    </row>
    <row r="34" spans="1:9" x14ac:dyDescent="0.25">
      <c r="A34" s="2">
        <v>43968</v>
      </c>
      <c r="B34" s="3" t="s">
        <v>11</v>
      </c>
      <c r="C34" s="3">
        <v>78057</v>
      </c>
      <c r="D34" s="3">
        <v>6774946.5</v>
      </c>
      <c r="I34" s="3">
        <f t="shared" si="0"/>
        <v>20</v>
      </c>
    </row>
    <row r="35" spans="1:9" x14ac:dyDescent="0.25">
      <c r="A35" s="2">
        <v>43960</v>
      </c>
      <c r="B35" s="3" t="s">
        <v>11</v>
      </c>
      <c r="C35" s="3">
        <v>69720</v>
      </c>
      <c r="D35" s="3">
        <v>6264933</v>
      </c>
      <c r="I35" s="3">
        <f t="shared" si="0"/>
        <v>19</v>
      </c>
    </row>
    <row r="36" spans="1:9" x14ac:dyDescent="0.25">
      <c r="A36" s="2">
        <v>43955</v>
      </c>
      <c r="B36" s="3" t="s">
        <v>11</v>
      </c>
      <c r="C36" s="3">
        <v>72928.5</v>
      </c>
      <c r="D36" s="3">
        <v>6642249</v>
      </c>
      <c r="I36" s="3">
        <f t="shared" si="0"/>
        <v>19</v>
      </c>
    </row>
    <row r="37" spans="1:9" x14ac:dyDescent="0.25">
      <c r="A37" s="2">
        <v>43950</v>
      </c>
      <c r="B37" s="3" t="s">
        <v>11</v>
      </c>
      <c r="C37" s="3">
        <v>79527</v>
      </c>
      <c r="D37" s="3">
        <v>7180498.5</v>
      </c>
      <c r="I37" s="3">
        <f t="shared" si="0"/>
        <v>18</v>
      </c>
    </row>
    <row r="38" spans="1:9" x14ac:dyDescent="0.25">
      <c r="A38" s="2">
        <v>43953</v>
      </c>
      <c r="B38" s="3" t="s">
        <v>11</v>
      </c>
      <c r="C38" s="3">
        <v>60463.5</v>
      </c>
      <c r="D38" s="3">
        <v>5554192.5</v>
      </c>
      <c r="I38" s="3">
        <f t="shared" si="0"/>
        <v>18</v>
      </c>
    </row>
    <row r="39" spans="1:9" x14ac:dyDescent="0.25">
      <c r="A39" s="2">
        <v>43977</v>
      </c>
      <c r="B39" s="3" t="s">
        <v>11</v>
      </c>
      <c r="C39" s="3">
        <v>79975.5</v>
      </c>
      <c r="D39" s="3">
        <v>6676459.5</v>
      </c>
      <c r="I39" s="3">
        <f t="shared" si="0"/>
        <v>22</v>
      </c>
    </row>
    <row r="40" spans="1:9" x14ac:dyDescent="0.25">
      <c r="A40" s="2">
        <v>43952</v>
      </c>
      <c r="B40" s="3" t="s">
        <v>11</v>
      </c>
      <c r="C40" s="3">
        <v>97534.5</v>
      </c>
      <c r="D40" s="3">
        <v>8893024.5</v>
      </c>
      <c r="I40" s="3">
        <f t="shared" si="0"/>
        <v>18</v>
      </c>
    </row>
    <row r="41" spans="1:9" x14ac:dyDescent="0.25">
      <c r="A41" s="2">
        <v>43963</v>
      </c>
      <c r="B41" s="3" t="s">
        <v>11</v>
      </c>
      <c r="C41" s="3">
        <v>71520</v>
      </c>
      <c r="D41" s="3">
        <v>6398361</v>
      </c>
      <c r="I41" s="3">
        <f t="shared" si="0"/>
        <v>20</v>
      </c>
    </row>
    <row r="42" spans="1:9" x14ac:dyDescent="0.25">
      <c r="A42" s="2">
        <v>43972</v>
      </c>
      <c r="B42" s="3" t="s">
        <v>11</v>
      </c>
      <c r="C42" s="3">
        <v>79485</v>
      </c>
      <c r="D42" s="3">
        <v>6633847.5</v>
      </c>
      <c r="I42" s="3">
        <f t="shared" si="0"/>
        <v>21</v>
      </c>
    </row>
    <row r="43" spans="1:9" x14ac:dyDescent="0.25">
      <c r="A43" s="2">
        <v>43971</v>
      </c>
      <c r="B43" s="3" t="s">
        <v>11</v>
      </c>
      <c r="C43" s="3">
        <v>93313.5</v>
      </c>
      <c r="D43" s="3">
        <v>7247575.5</v>
      </c>
      <c r="I43" s="3">
        <f t="shared" si="0"/>
        <v>21</v>
      </c>
    </row>
    <row r="44" spans="1:9" x14ac:dyDescent="0.25">
      <c r="A44" s="2">
        <v>43956</v>
      </c>
      <c r="B44" s="3" t="s">
        <v>11</v>
      </c>
      <c r="C44" s="3">
        <v>76585.5</v>
      </c>
      <c r="D44" s="3">
        <v>6921316.5</v>
      </c>
      <c r="I44" s="3">
        <f t="shared" si="0"/>
        <v>19</v>
      </c>
    </row>
    <row r="45" spans="1:9" x14ac:dyDescent="0.25">
      <c r="A45" s="2">
        <v>43949</v>
      </c>
      <c r="B45" s="3" t="s">
        <v>11</v>
      </c>
      <c r="C45" s="3">
        <v>81826.5</v>
      </c>
      <c r="D45" s="3">
        <v>7163644.5</v>
      </c>
      <c r="I45" s="3">
        <f t="shared" si="0"/>
        <v>18</v>
      </c>
    </row>
    <row r="46" spans="1:9" x14ac:dyDescent="0.25">
      <c r="A46" s="2">
        <v>43964</v>
      </c>
      <c r="B46" s="3" t="s">
        <v>11</v>
      </c>
      <c r="C46" s="3">
        <v>78846</v>
      </c>
      <c r="D46" s="3">
        <v>6993952.5</v>
      </c>
      <c r="I46" s="3">
        <f t="shared" si="0"/>
        <v>20</v>
      </c>
    </row>
    <row r="47" spans="1:9" x14ac:dyDescent="0.25">
      <c r="A47" s="2">
        <v>43954</v>
      </c>
      <c r="B47" s="3" t="s">
        <v>11</v>
      </c>
      <c r="C47" s="3">
        <v>77263.5</v>
      </c>
      <c r="D47" s="3">
        <v>7013670</v>
      </c>
      <c r="I47" s="3">
        <f t="shared" si="0"/>
        <v>18</v>
      </c>
    </row>
    <row r="48" spans="1:9" x14ac:dyDescent="0.25">
      <c r="A48" s="2">
        <v>43957</v>
      </c>
      <c r="B48" s="3" t="s">
        <v>11</v>
      </c>
      <c r="C48" s="3">
        <v>68994</v>
      </c>
      <c r="D48" s="3">
        <v>6168657</v>
      </c>
      <c r="I48" s="3">
        <f t="shared" si="0"/>
        <v>19</v>
      </c>
    </row>
    <row r="49" spans="1:9" x14ac:dyDescent="0.25">
      <c r="A49" s="2">
        <v>43974</v>
      </c>
      <c r="B49" s="3" t="s">
        <v>11</v>
      </c>
      <c r="C49" s="3">
        <v>102889.5</v>
      </c>
      <c r="D49" s="3">
        <v>8089143</v>
      </c>
      <c r="I49" s="3">
        <f t="shared" si="0"/>
        <v>21</v>
      </c>
    </row>
    <row r="50" spans="1:9" x14ac:dyDescent="0.25">
      <c r="A50" s="2">
        <v>43976</v>
      </c>
      <c r="B50" s="3" t="s">
        <v>11</v>
      </c>
      <c r="C50" s="3">
        <v>76999.5</v>
      </c>
      <c r="D50" s="3">
        <v>6645603</v>
      </c>
      <c r="I50" s="3">
        <f t="shared" si="0"/>
        <v>22</v>
      </c>
    </row>
    <row r="51" spans="1:9" x14ac:dyDescent="0.25">
      <c r="A51" s="2">
        <v>43951</v>
      </c>
      <c r="B51" s="3" t="s">
        <v>11</v>
      </c>
      <c r="C51" s="3">
        <v>77565</v>
      </c>
      <c r="D51" s="3">
        <v>7023727.5</v>
      </c>
      <c r="I51" s="3">
        <f t="shared" si="0"/>
        <v>18</v>
      </c>
    </row>
    <row r="52" spans="1:9" x14ac:dyDescent="0.25">
      <c r="A52" s="2">
        <v>43961</v>
      </c>
      <c r="B52" s="3" t="s">
        <v>11</v>
      </c>
      <c r="C52" s="3">
        <v>84132</v>
      </c>
      <c r="D52" s="3">
        <v>7483194</v>
      </c>
      <c r="I52" s="3">
        <f t="shared" si="0"/>
        <v>19</v>
      </c>
    </row>
    <row r="53" spans="1:9" x14ac:dyDescent="0.25">
      <c r="A53" s="2">
        <v>43959</v>
      </c>
      <c r="B53" s="3" t="s">
        <v>11</v>
      </c>
      <c r="C53" s="3">
        <v>69544.5</v>
      </c>
      <c r="D53" s="3">
        <v>6293776.5</v>
      </c>
      <c r="I53" s="3">
        <f t="shared" si="0"/>
        <v>19</v>
      </c>
    </row>
    <row r="54" spans="1:9" x14ac:dyDescent="0.25">
      <c r="A54" s="2">
        <v>43958</v>
      </c>
      <c r="B54" s="3" t="s">
        <v>11</v>
      </c>
      <c r="C54" s="3">
        <v>73204.5</v>
      </c>
      <c r="D54" s="3">
        <v>6591883.5</v>
      </c>
      <c r="I54" s="3">
        <f t="shared" si="0"/>
        <v>19</v>
      </c>
    </row>
    <row r="55" spans="1:9" x14ac:dyDescent="0.25">
      <c r="A55" s="2">
        <v>43975</v>
      </c>
      <c r="B55" s="3" t="s">
        <v>11</v>
      </c>
      <c r="C55" s="3">
        <v>76663.5</v>
      </c>
      <c r="D55" s="3">
        <v>6451032</v>
      </c>
      <c r="I55" s="3">
        <f t="shared" si="0"/>
        <v>21</v>
      </c>
    </row>
    <row r="56" spans="1:9" x14ac:dyDescent="0.25">
      <c r="A56" s="2">
        <v>43967</v>
      </c>
      <c r="B56" s="3" t="s">
        <v>12</v>
      </c>
      <c r="C56" s="3">
        <v>14265</v>
      </c>
      <c r="D56" s="3">
        <v>1130506.5</v>
      </c>
      <c r="I56" s="3">
        <f t="shared" si="0"/>
        <v>20</v>
      </c>
    </row>
    <row r="57" spans="1:9" x14ac:dyDescent="0.25">
      <c r="A57" s="2">
        <v>43970</v>
      </c>
      <c r="B57" s="3" t="s">
        <v>12</v>
      </c>
      <c r="C57" s="3">
        <v>11526</v>
      </c>
      <c r="D57" s="3">
        <v>938764.5</v>
      </c>
      <c r="I57" s="3">
        <f t="shared" si="0"/>
        <v>21</v>
      </c>
    </row>
    <row r="58" spans="1:9" x14ac:dyDescent="0.25">
      <c r="A58" s="2">
        <v>43968</v>
      </c>
      <c r="B58" s="3" t="s">
        <v>12</v>
      </c>
      <c r="C58" s="3">
        <v>10402.5</v>
      </c>
      <c r="D58" s="3">
        <v>843727.5</v>
      </c>
      <c r="I58" s="3">
        <f t="shared" si="0"/>
        <v>20</v>
      </c>
    </row>
    <row r="59" spans="1:9" x14ac:dyDescent="0.25">
      <c r="A59" s="2">
        <v>43960</v>
      </c>
      <c r="B59" s="3" t="s">
        <v>12</v>
      </c>
      <c r="C59" s="3">
        <v>13216.5</v>
      </c>
      <c r="D59" s="3">
        <v>1046400</v>
      </c>
      <c r="I59" s="3">
        <f t="shared" si="0"/>
        <v>19</v>
      </c>
    </row>
    <row r="60" spans="1:9" x14ac:dyDescent="0.25">
      <c r="A60" s="2">
        <v>43955</v>
      </c>
      <c r="B60" s="3" t="s">
        <v>12</v>
      </c>
      <c r="C60" s="3">
        <v>9130.5</v>
      </c>
      <c r="D60" s="3">
        <v>728890.5</v>
      </c>
      <c r="I60" s="3">
        <f t="shared" si="0"/>
        <v>19</v>
      </c>
    </row>
    <row r="61" spans="1:9" x14ac:dyDescent="0.25">
      <c r="A61" s="2">
        <v>43950</v>
      </c>
      <c r="B61" s="3" t="s">
        <v>12</v>
      </c>
      <c r="C61" s="3">
        <v>10840.5</v>
      </c>
      <c r="D61" s="3">
        <v>797919</v>
      </c>
      <c r="I61" s="3">
        <f t="shared" si="0"/>
        <v>18</v>
      </c>
    </row>
    <row r="62" spans="1:9" x14ac:dyDescent="0.25">
      <c r="A62" s="2">
        <v>43953</v>
      </c>
      <c r="B62" s="3" t="s">
        <v>12</v>
      </c>
      <c r="C62" s="3">
        <v>7866</v>
      </c>
      <c r="D62" s="3">
        <v>617881.5</v>
      </c>
      <c r="I62" s="3">
        <f t="shared" si="0"/>
        <v>18</v>
      </c>
    </row>
    <row r="63" spans="1:9" x14ac:dyDescent="0.25">
      <c r="A63" s="2">
        <v>43977</v>
      </c>
      <c r="B63" s="3" t="s">
        <v>12</v>
      </c>
      <c r="C63" s="3">
        <v>11835</v>
      </c>
      <c r="D63" s="3">
        <v>983109</v>
      </c>
      <c r="I63" s="3">
        <f t="shared" si="0"/>
        <v>22</v>
      </c>
    </row>
    <row r="64" spans="1:9" x14ac:dyDescent="0.25">
      <c r="A64" s="2">
        <v>43952</v>
      </c>
      <c r="B64" s="3" t="s">
        <v>12</v>
      </c>
      <c r="C64" s="3">
        <v>11619</v>
      </c>
      <c r="D64" s="3">
        <v>891139.5</v>
      </c>
      <c r="I64" s="3">
        <f t="shared" si="0"/>
        <v>18</v>
      </c>
    </row>
    <row r="65" spans="1:9" x14ac:dyDescent="0.25">
      <c r="A65" s="2">
        <v>43963</v>
      </c>
      <c r="B65" s="3" t="s">
        <v>12</v>
      </c>
      <c r="C65" s="3">
        <v>9328.5</v>
      </c>
      <c r="D65" s="3">
        <v>732964.5</v>
      </c>
      <c r="I65" s="3">
        <f t="shared" si="0"/>
        <v>20</v>
      </c>
    </row>
    <row r="66" spans="1:9" x14ac:dyDescent="0.25">
      <c r="A66" s="2">
        <v>43972</v>
      </c>
      <c r="B66" s="3" t="s">
        <v>12</v>
      </c>
      <c r="C66" s="3">
        <v>11250</v>
      </c>
      <c r="D66" s="3">
        <v>935523</v>
      </c>
      <c r="I66" s="3">
        <f t="shared" si="0"/>
        <v>21</v>
      </c>
    </row>
    <row r="67" spans="1:9" x14ac:dyDescent="0.25">
      <c r="A67" s="2">
        <v>43971</v>
      </c>
      <c r="B67" s="3" t="s">
        <v>12</v>
      </c>
      <c r="C67" s="3">
        <v>13063.5</v>
      </c>
      <c r="D67" s="3">
        <v>1037247</v>
      </c>
      <c r="I67" s="3">
        <f t="shared" ref="I67:I130" si="1">WEEKNUM(A67,2)</f>
        <v>21</v>
      </c>
    </row>
    <row r="68" spans="1:9" x14ac:dyDescent="0.25">
      <c r="A68" s="2">
        <v>43956</v>
      </c>
      <c r="B68" s="3" t="s">
        <v>12</v>
      </c>
      <c r="C68" s="3">
        <v>10147.5</v>
      </c>
      <c r="D68" s="3">
        <v>793320</v>
      </c>
      <c r="I68" s="3">
        <f t="shared" si="1"/>
        <v>19</v>
      </c>
    </row>
    <row r="69" spans="1:9" x14ac:dyDescent="0.25">
      <c r="A69" s="2">
        <v>43949</v>
      </c>
      <c r="B69" s="3" t="s">
        <v>12</v>
      </c>
      <c r="C69" s="3">
        <v>12331.5</v>
      </c>
      <c r="D69" s="3">
        <v>869983.5</v>
      </c>
      <c r="I69" s="3">
        <f t="shared" si="1"/>
        <v>18</v>
      </c>
    </row>
    <row r="70" spans="1:9" x14ac:dyDescent="0.25">
      <c r="A70" s="2">
        <v>43964</v>
      </c>
      <c r="B70" s="3" t="s">
        <v>12</v>
      </c>
      <c r="C70" s="3">
        <v>11202</v>
      </c>
      <c r="D70" s="3">
        <v>865714.5</v>
      </c>
      <c r="I70" s="3">
        <f t="shared" si="1"/>
        <v>20</v>
      </c>
    </row>
    <row r="71" spans="1:9" x14ac:dyDescent="0.25">
      <c r="A71" s="2">
        <v>43982</v>
      </c>
      <c r="B71" s="3" t="s">
        <v>11</v>
      </c>
      <c r="C71" s="3">
        <v>89149.5</v>
      </c>
      <c r="D71" s="3">
        <v>7512646.5</v>
      </c>
      <c r="I71" s="3">
        <f t="shared" si="1"/>
        <v>22</v>
      </c>
    </row>
    <row r="72" spans="1:9" x14ac:dyDescent="0.25">
      <c r="A72" s="2">
        <v>43954</v>
      </c>
      <c r="B72" s="3" t="s">
        <v>12</v>
      </c>
      <c r="C72" s="3">
        <v>8185.5</v>
      </c>
      <c r="D72" s="3">
        <v>637881</v>
      </c>
      <c r="I72" s="3">
        <f t="shared" si="1"/>
        <v>18</v>
      </c>
    </row>
    <row r="73" spans="1:9" x14ac:dyDescent="0.25">
      <c r="A73" s="2">
        <v>43981</v>
      </c>
      <c r="B73" s="3" t="s">
        <v>11</v>
      </c>
      <c r="C73" s="3">
        <v>108123</v>
      </c>
      <c r="D73" s="3">
        <v>9164707.5</v>
      </c>
      <c r="I73" s="3">
        <f t="shared" si="1"/>
        <v>22</v>
      </c>
    </row>
    <row r="74" spans="1:9" x14ac:dyDescent="0.25">
      <c r="A74" s="2">
        <v>43957</v>
      </c>
      <c r="B74" s="3" t="s">
        <v>12</v>
      </c>
      <c r="C74" s="3">
        <v>9210</v>
      </c>
      <c r="D74" s="3">
        <v>696832.5</v>
      </c>
      <c r="I74" s="3">
        <f t="shared" si="1"/>
        <v>19</v>
      </c>
    </row>
    <row r="75" spans="1:9" x14ac:dyDescent="0.25">
      <c r="A75" s="2">
        <v>43974</v>
      </c>
      <c r="B75" s="3" t="s">
        <v>12</v>
      </c>
      <c r="C75" s="3">
        <v>14773.5</v>
      </c>
      <c r="D75" s="3">
        <v>1241383.5</v>
      </c>
      <c r="I75" s="3">
        <f t="shared" si="1"/>
        <v>21</v>
      </c>
    </row>
    <row r="76" spans="1:9" x14ac:dyDescent="0.25">
      <c r="A76" s="2">
        <v>43979</v>
      </c>
      <c r="B76" s="3" t="s">
        <v>11</v>
      </c>
      <c r="C76" s="3">
        <v>78141</v>
      </c>
      <c r="D76" s="3">
        <v>6641569.5</v>
      </c>
      <c r="I76" s="3">
        <f t="shared" si="1"/>
        <v>22</v>
      </c>
    </row>
    <row r="77" spans="1:9" x14ac:dyDescent="0.25">
      <c r="A77" s="2">
        <v>43976</v>
      </c>
      <c r="B77" s="3" t="s">
        <v>12</v>
      </c>
      <c r="C77" s="3">
        <v>12280.5</v>
      </c>
      <c r="D77" s="3">
        <v>1030440</v>
      </c>
      <c r="I77" s="3">
        <f t="shared" si="1"/>
        <v>22</v>
      </c>
    </row>
    <row r="78" spans="1:9" x14ac:dyDescent="0.25">
      <c r="A78" s="2">
        <v>43951</v>
      </c>
      <c r="B78" s="3" t="s">
        <v>12</v>
      </c>
      <c r="C78" s="3">
        <v>8934</v>
      </c>
      <c r="D78" s="3">
        <v>716196</v>
      </c>
      <c r="I78" s="3">
        <f t="shared" si="1"/>
        <v>18</v>
      </c>
    </row>
    <row r="79" spans="1:9" x14ac:dyDescent="0.25">
      <c r="A79" s="2">
        <v>43961</v>
      </c>
      <c r="B79" s="3" t="s">
        <v>12</v>
      </c>
      <c r="C79" s="3">
        <v>12918</v>
      </c>
      <c r="D79" s="3">
        <v>1004788.5</v>
      </c>
      <c r="I79" s="3">
        <f t="shared" si="1"/>
        <v>19</v>
      </c>
    </row>
    <row r="80" spans="1:9" x14ac:dyDescent="0.25">
      <c r="A80" s="2">
        <v>43959</v>
      </c>
      <c r="B80" s="3" t="s">
        <v>12</v>
      </c>
      <c r="C80" s="3">
        <v>12528</v>
      </c>
      <c r="D80" s="3">
        <v>959703</v>
      </c>
      <c r="I80" s="3">
        <f t="shared" si="1"/>
        <v>19</v>
      </c>
    </row>
    <row r="81" spans="1:9" x14ac:dyDescent="0.25">
      <c r="A81" s="2">
        <v>43958</v>
      </c>
      <c r="B81" s="3" t="s">
        <v>12</v>
      </c>
      <c r="C81" s="3">
        <v>11029.5</v>
      </c>
      <c r="D81" s="3">
        <v>863754</v>
      </c>
      <c r="I81" s="3">
        <f t="shared" si="1"/>
        <v>19</v>
      </c>
    </row>
    <row r="82" spans="1:9" x14ac:dyDescent="0.25">
      <c r="A82" s="2">
        <v>43975</v>
      </c>
      <c r="B82" s="3" t="s">
        <v>12</v>
      </c>
      <c r="C82" s="3">
        <v>9994.5</v>
      </c>
      <c r="D82" s="3">
        <v>828984</v>
      </c>
      <c r="I82" s="3">
        <f t="shared" si="1"/>
        <v>21</v>
      </c>
    </row>
    <row r="83" spans="1:9" x14ac:dyDescent="0.25">
      <c r="A83" s="2">
        <v>43982</v>
      </c>
      <c r="B83" s="3" t="s">
        <v>12</v>
      </c>
      <c r="C83" s="3">
        <v>12724.5</v>
      </c>
      <c r="D83" s="3">
        <v>1045515</v>
      </c>
      <c r="I83" s="3">
        <f t="shared" si="1"/>
        <v>22</v>
      </c>
    </row>
    <row r="84" spans="1:9" x14ac:dyDescent="0.25">
      <c r="A84" s="2">
        <v>43981</v>
      </c>
      <c r="B84" s="3" t="s">
        <v>12</v>
      </c>
      <c r="C84" s="3">
        <v>14728.5</v>
      </c>
      <c r="D84" s="3">
        <v>1260483</v>
      </c>
      <c r="I84" s="3">
        <f t="shared" si="1"/>
        <v>22</v>
      </c>
    </row>
    <row r="85" spans="1:9" x14ac:dyDescent="0.25">
      <c r="A85" s="2">
        <v>43979</v>
      </c>
      <c r="B85" s="3" t="s">
        <v>12</v>
      </c>
      <c r="C85" s="3">
        <v>13038</v>
      </c>
      <c r="D85" s="3">
        <v>1114552.5</v>
      </c>
      <c r="I85" s="3">
        <f t="shared" si="1"/>
        <v>22</v>
      </c>
    </row>
    <row r="86" spans="1:9" x14ac:dyDescent="0.25">
      <c r="A86" s="2">
        <v>43967</v>
      </c>
      <c r="B86" s="3" t="s">
        <v>13</v>
      </c>
      <c r="C86" s="3">
        <v>35482.5</v>
      </c>
      <c r="D86" s="3">
        <v>3222517.5</v>
      </c>
      <c r="I86" s="3">
        <f t="shared" si="1"/>
        <v>20</v>
      </c>
    </row>
    <row r="87" spans="1:9" x14ac:dyDescent="0.25">
      <c r="A87" s="2">
        <v>43970</v>
      </c>
      <c r="B87" s="3" t="s">
        <v>13</v>
      </c>
      <c r="C87" s="3">
        <v>32434.5</v>
      </c>
      <c r="D87" s="3">
        <v>2865337.5</v>
      </c>
      <c r="I87" s="3">
        <f t="shared" si="1"/>
        <v>21</v>
      </c>
    </row>
    <row r="88" spans="1:9" x14ac:dyDescent="0.25">
      <c r="A88" s="2">
        <v>43968</v>
      </c>
      <c r="B88" s="3" t="s">
        <v>13</v>
      </c>
      <c r="C88" s="3">
        <v>30486</v>
      </c>
      <c r="D88" s="3">
        <v>2694289.5</v>
      </c>
      <c r="I88" s="3">
        <f t="shared" si="1"/>
        <v>20</v>
      </c>
    </row>
    <row r="89" spans="1:9" x14ac:dyDescent="0.25">
      <c r="A89" s="2">
        <v>43960</v>
      </c>
      <c r="B89" s="3" t="s">
        <v>13</v>
      </c>
      <c r="C89" s="3">
        <v>32079</v>
      </c>
      <c r="D89" s="3">
        <v>2902167</v>
      </c>
      <c r="I89" s="3">
        <f t="shared" si="1"/>
        <v>19</v>
      </c>
    </row>
    <row r="90" spans="1:9" x14ac:dyDescent="0.25">
      <c r="A90" s="2">
        <v>43955</v>
      </c>
      <c r="B90" s="3" t="s">
        <v>13</v>
      </c>
      <c r="C90" s="3">
        <v>27072</v>
      </c>
      <c r="D90" s="3">
        <v>2450968.5</v>
      </c>
      <c r="I90" s="3">
        <f t="shared" si="1"/>
        <v>19</v>
      </c>
    </row>
    <row r="91" spans="1:9" x14ac:dyDescent="0.25">
      <c r="A91" s="2">
        <v>43950</v>
      </c>
      <c r="B91" s="3" t="s">
        <v>13</v>
      </c>
      <c r="C91" s="3">
        <v>25917</v>
      </c>
      <c r="D91" s="3">
        <v>2397588</v>
      </c>
      <c r="I91" s="3">
        <f t="shared" si="1"/>
        <v>18</v>
      </c>
    </row>
    <row r="92" spans="1:9" x14ac:dyDescent="0.25">
      <c r="A92" s="2">
        <v>43953</v>
      </c>
      <c r="B92" s="3" t="s">
        <v>13</v>
      </c>
      <c r="C92" s="3">
        <v>19461</v>
      </c>
      <c r="D92" s="3">
        <v>1799230.5</v>
      </c>
      <c r="I92" s="3">
        <f t="shared" si="1"/>
        <v>18</v>
      </c>
    </row>
    <row r="93" spans="1:9" x14ac:dyDescent="0.25">
      <c r="A93" s="2">
        <v>43977</v>
      </c>
      <c r="B93" s="3" t="s">
        <v>13</v>
      </c>
      <c r="C93" s="3">
        <v>31407</v>
      </c>
      <c r="D93" s="3">
        <v>2907411</v>
      </c>
      <c r="I93" s="3">
        <f t="shared" si="1"/>
        <v>22</v>
      </c>
    </row>
    <row r="94" spans="1:9" x14ac:dyDescent="0.25">
      <c r="A94" s="2">
        <v>43952</v>
      </c>
      <c r="B94" s="3" t="s">
        <v>13</v>
      </c>
      <c r="C94" s="3">
        <v>25792.5</v>
      </c>
      <c r="D94" s="3">
        <v>2374356</v>
      </c>
      <c r="I94" s="3">
        <f t="shared" si="1"/>
        <v>18</v>
      </c>
    </row>
    <row r="95" spans="1:9" x14ac:dyDescent="0.25">
      <c r="A95" s="2">
        <v>43963</v>
      </c>
      <c r="B95" s="3" t="s">
        <v>13</v>
      </c>
      <c r="C95" s="3">
        <v>26032.5</v>
      </c>
      <c r="D95" s="3">
        <v>2370432</v>
      </c>
      <c r="I95" s="3">
        <f t="shared" si="1"/>
        <v>20</v>
      </c>
    </row>
    <row r="96" spans="1:9" x14ac:dyDescent="0.25">
      <c r="A96" s="2">
        <v>43972</v>
      </c>
      <c r="B96" s="3" t="s">
        <v>13</v>
      </c>
      <c r="C96" s="3">
        <v>31707</v>
      </c>
      <c r="D96" s="3">
        <v>2853181.5</v>
      </c>
      <c r="I96" s="3">
        <f t="shared" si="1"/>
        <v>21</v>
      </c>
    </row>
    <row r="97" spans="1:9" x14ac:dyDescent="0.25">
      <c r="A97" s="2">
        <v>43971</v>
      </c>
      <c r="B97" s="3" t="s">
        <v>13</v>
      </c>
      <c r="C97" s="3">
        <v>29955</v>
      </c>
      <c r="D97" s="3">
        <v>2692230</v>
      </c>
      <c r="I97" s="3">
        <f t="shared" si="1"/>
        <v>21</v>
      </c>
    </row>
    <row r="98" spans="1:9" x14ac:dyDescent="0.25">
      <c r="A98" s="2">
        <v>43956</v>
      </c>
      <c r="B98" s="3" t="s">
        <v>13</v>
      </c>
      <c r="C98" s="3">
        <v>22848</v>
      </c>
      <c r="D98" s="3">
        <v>2079900</v>
      </c>
      <c r="I98" s="3">
        <f t="shared" si="1"/>
        <v>19</v>
      </c>
    </row>
    <row r="99" spans="1:9" x14ac:dyDescent="0.25">
      <c r="A99" s="2">
        <v>43949</v>
      </c>
      <c r="B99" s="3" t="s">
        <v>13</v>
      </c>
      <c r="C99" s="3">
        <v>23314.5</v>
      </c>
      <c r="D99" s="3">
        <v>2136817.5</v>
      </c>
      <c r="I99" s="3">
        <f t="shared" si="1"/>
        <v>18</v>
      </c>
    </row>
    <row r="100" spans="1:9" x14ac:dyDescent="0.25">
      <c r="A100" s="2">
        <v>43964</v>
      </c>
      <c r="B100" s="3" t="s">
        <v>13</v>
      </c>
      <c r="C100" s="3">
        <v>26464.5</v>
      </c>
      <c r="D100" s="3">
        <v>2373337.5</v>
      </c>
      <c r="I100" s="3">
        <f t="shared" si="1"/>
        <v>20</v>
      </c>
    </row>
    <row r="101" spans="1:9" x14ac:dyDescent="0.25">
      <c r="A101" s="2">
        <v>43954</v>
      </c>
      <c r="B101" s="3" t="s">
        <v>13</v>
      </c>
      <c r="C101" s="3">
        <v>23539.5</v>
      </c>
      <c r="D101" s="3">
        <v>2170309.5</v>
      </c>
      <c r="I101" s="3">
        <f t="shared" si="1"/>
        <v>18</v>
      </c>
    </row>
    <row r="102" spans="1:9" x14ac:dyDescent="0.25">
      <c r="A102" s="2">
        <v>43957</v>
      </c>
      <c r="B102" s="3" t="s">
        <v>13</v>
      </c>
      <c r="C102" s="3">
        <v>24678</v>
      </c>
      <c r="D102" s="3">
        <v>2232519</v>
      </c>
      <c r="I102" s="3">
        <f t="shared" si="1"/>
        <v>19</v>
      </c>
    </row>
    <row r="103" spans="1:9" x14ac:dyDescent="0.25">
      <c r="A103" s="2">
        <v>43974</v>
      </c>
      <c r="B103" s="3" t="s">
        <v>13</v>
      </c>
      <c r="C103" s="3">
        <v>38176.5</v>
      </c>
      <c r="D103" s="3">
        <v>3385372.5</v>
      </c>
      <c r="I103" s="3">
        <f t="shared" si="1"/>
        <v>21</v>
      </c>
    </row>
    <row r="104" spans="1:9" x14ac:dyDescent="0.25">
      <c r="A104" s="2">
        <v>43976</v>
      </c>
      <c r="B104" s="3" t="s">
        <v>13</v>
      </c>
      <c r="C104" s="3">
        <v>30603</v>
      </c>
      <c r="D104" s="3">
        <v>2865727.5</v>
      </c>
      <c r="I104" s="3">
        <f t="shared" si="1"/>
        <v>22</v>
      </c>
    </row>
    <row r="105" spans="1:9" x14ac:dyDescent="0.25">
      <c r="A105" s="2">
        <v>43951</v>
      </c>
      <c r="B105" s="3" t="s">
        <v>13</v>
      </c>
      <c r="C105" s="3">
        <v>24211.5</v>
      </c>
      <c r="D105" s="3">
        <v>2267664</v>
      </c>
      <c r="I105" s="3">
        <f t="shared" si="1"/>
        <v>18</v>
      </c>
    </row>
    <row r="106" spans="1:9" x14ac:dyDescent="0.25">
      <c r="A106" s="2">
        <v>43961</v>
      </c>
      <c r="B106" s="3" t="s">
        <v>13</v>
      </c>
      <c r="C106" s="3">
        <v>31399.5</v>
      </c>
      <c r="D106" s="3">
        <v>2862298.5</v>
      </c>
      <c r="I106" s="3">
        <f t="shared" si="1"/>
        <v>19</v>
      </c>
    </row>
    <row r="107" spans="1:9" x14ac:dyDescent="0.25">
      <c r="A107" s="2">
        <v>43959</v>
      </c>
      <c r="B107" s="3" t="s">
        <v>13</v>
      </c>
      <c r="C107" s="3">
        <v>25294.5</v>
      </c>
      <c r="D107" s="3">
        <v>2271454.5</v>
      </c>
      <c r="I107" s="3">
        <f t="shared" si="1"/>
        <v>19</v>
      </c>
    </row>
    <row r="108" spans="1:9" x14ac:dyDescent="0.25">
      <c r="A108" s="2">
        <v>43958</v>
      </c>
      <c r="B108" s="3" t="s">
        <v>13</v>
      </c>
      <c r="C108" s="3">
        <v>25468.5</v>
      </c>
      <c r="D108" s="3">
        <v>2350672.5</v>
      </c>
      <c r="I108" s="3">
        <f t="shared" si="1"/>
        <v>19</v>
      </c>
    </row>
    <row r="109" spans="1:9" x14ac:dyDescent="0.25">
      <c r="A109" s="2">
        <v>43975</v>
      </c>
      <c r="B109" s="3" t="s">
        <v>13</v>
      </c>
      <c r="C109" s="3">
        <v>31854</v>
      </c>
      <c r="D109" s="3">
        <v>2915533.5</v>
      </c>
      <c r="I109" s="3">
        <f t="shared" si="1"/>
        <v>21</v>
      </c>
    </row>
    <row r="110" spans="1:9" x14ac:dyDescent="0.25">
      <c r="A110" s="2">
        <v>43982</v>
      </c>
      <c r="B110" s="3" t="s">
        <v>13</v>
      </c>
      <c r="C110" s="3">
        <v>32359.5</v>
      </c>
      <c r="D110" s="3">
        <v>2991999</v>
      </c>
      <c r="I110" s="3">
        <f t="shared" si="1"/>
        <v>22</v>
      </c>
    </row>
    <row r="111" spans="1:9" x14ac:dyDescent="0.25">
      <c r="A111" s="2">
        <v>43981</v>
      </c>
      <c r="B111" s="3" t="s">
        <v>13</v>
      </c>
      <c r="C111" s="3">
        <v>39867</v>
      </c>
      <c r="D111" s="3">
        <v>3654166.5</v>
      </c>
      <c r="I111" s="3">
        <f t="shared" si="1"/>
        <v>22</v>
      </c>
    </row>
    <row r="112" spans="1:9" x14ac:dyDescent="0.25">
      <c r="A112" s="2">
        <v>43979</v>
      </c>
      <c r="B112" s="3" t="s">
        <v>13</v>
      </c>
      <c r="C112" s="3">
        <v>31974</v>
      </c>
      <c r="D112" s="3">
        <v>3004213.5</v>
      </c>
      <c r="I112" s="3">
        <f t="shared" si="1"/>
        <v>22</v>
      </c>
    </row>
    <row r="113" spans="1:9" x14ac:dyDescent="0.25">
      <c r="A113" s="2">
        <v>43967</v>
      </c>
      <c r="B113" s="3" t="s">
        <v>14</v>
      </c>
      <c r="C113" s="3">
        <v>321412.5</v>
      </c>
      <c r="D113" s="3">
        <v>32235864</v>
      </c>
      <c r="I113" s="3">
        <f t="shared" si="1"/>
        <v>20</v>
      </c>
    </row>
    <row r="114" spans="1:9" x14ac:dyDescent="0.25">
      <c r="A114" s="2">
        <v>43970</v>
      </c>
      <c r="B114" s="3" t="s">
        <v>14</v>
      </c>
      <c r="C114" s="3">
        <v>276568.5</v>
      </c>
      <c r="D114" s="3">
        <v>27093624</v>
      </c>
      <c r="I114" s="3">
        <f t="shared" si="1"/>
        <v>21</v>
      </c>
    </row>
    <row r="115" spans="1:9" x14ac:dyDescent="0.25">
      <c r="A115" s="2">
        <v>43968</v>
      </c>
      <c r="B115" s="3" t="s">
        <v>14</v>
      </c>
      <c r="C115" s="3">
        <v>269029.5</v>
      </c>
      <c r="D115" s="3">
        <v>26659930.5</v>
      </c>
      <c r="I115" s="3">
        <f t="shared" si="1"/>
        <v>20</v>
      </c>
    </row>
    <row r="116" spans="1:9" x14ac:dyDescent="0.25">
      <c r="A116" s="2">
        <v>43960</v>
      </c>
      <c r="B116" s="3" t="s">
        <v>14</v>
      </c>
      <c r="C116" s="3">
        <v>285972</v>
      </c>
      <c r="D116" s="3">
        <v>29768199</v>
      </c>
      <c r="I116" s="3">
        <f t="shared" si="1"/>
        <v>19</v>
      </c>
    </row>
    <row r="117" spans="1:9" x14ac:dyDescent="0.25">
      <c r="A117" s="2">
        <v>43955</v>
      </c>
      <c r="B117" s="3" t="s">
        <v>14</v>
      </c>
      <c r="C117" s="3">
        <v>283942.5</v>
      </c>
      <c r="D117" s="3">
        <v>29357940</v>
      </c>
      <c r="I117" s="3">
        <f t="shared" si="1"/>
        <v>19</v>
      </c>
    </row>
    <row r="118" spans="1:9" x14ac:dyDescent="0.25">
      <c r="A118" s="2">
        <v>43950</v>
      </c>
      <c r="B118" s="3" t="s">
        <v>14</v>
      </c>
      <c r="C118" s="3">
        <v>298059</v>
      </c>
      <c r="D118" s="3">
        <v>30869287.5</v>
      </c>
      <c r="I118" s="3">
        <f t="shared" si="1"/>
        <v>18</v>
      </c>
    </row>
    <row r="119" spans="1:9" x14ac:dyDescent="0.25">
      <c r="A119" s="2">
        <v>43953</v>
      </c>
      <c r="B119" s="3" t="s">
        <v>14</v>
      </c>
      <c r="C119" s="3">
        <v>232903.5</v>
      </c>
      <c r="D119" s="3">
        <v>24342016.5</v>
      </c>
      <c r="I119" s="3">
        <f t="shared" si="1"/>
        <v>18</v>
      </c>
    </row>
    <row r="120" spans="1:9" x14ac:dyDescent="0.25">
      <c r="A120" s="2">
        <v>43977</v>
      </c>
      <c r="B120" s="3" t="s">
        <v>14</v>
      </c>
      <c r="C120" s="3">
        <v>276966</v>
      </c>
      <c r="D120" s="3">
        <v>27872617.898850001</v>
      </c>
      <c r="I120" s="3">
        <f t="shared" si="1"/>
        <v>22</v>
      </c>
    </row>
    <row r="121" spans="1:9" x14ac:dyDescent="0.25">
      <c r="A121" s="2">
        <v>43952</v>
      </c>
      <c r="B121" s="3" t="s">
        <v>14</v>
      </c>
      <c r="C121" s="3">
        <v>296149.5</v>
      </c>
      <c r="D121" s="3">
        <v>31053316.5</v>
      </c>
      <c r="I121" s="3">
        <f t="shared" si="1"/>
        <v>18</v>
      </c>
    </row>
    <row r="122" spans="1:9" x14ac:dyDescent="0.25">
      <c r="A122" s="2">
        <v>43963</v>
      </c>
      <c r="B122" s="3" t="s">
        <v>14</v>
      </c>
      <c r="C122" s="3">
        <v>281796</v>
      </c>
      <c r="D122" s="3">
        <v>29042520</v>
      </c>
      <c r="I122" s="3">
        <f t="shared" si="1"/>
        <v>20</v>
      </c>
    </row>
    <row r="123" spans="1:9" x14ac:dyDescent="0.25">
      <c r="A123" s="2">
        <v>43972</v>
      </c>
      <c r="B123" s="3" t="s">
        <v>14</v>
      </c>
      <c r="C123" s="3">
        <v>288936</v>
      </c>
      <c r="D123" s="3">
        <v>27852900</v>
      </c>
      <c r="I123" s="3">
        <f t="shared" si="1"/>
        <v>21</v>
      </c>
    </row>
    <row r="124" spans="1:9" x14ac:dyDescent="0.25">
      <c r="A124" s="2">
        <v>43971</v>
      </c>
      <c r="B124" s="3" t="s">
        <v>14</v>
      </c>
      <c r="C124" s="3">
        <v>300151.5</v>
      </c>
      <c r="D124" s="3">
        <v>29368771.617449999</v>
      </c>
      <c r="I124" s="3">
        <f t="shared" si="1"/>
        <v>21</v>
      </c>
    </row>
    <row r="125" spans="1:9" x14ac:dyDescent="0.25">
      <c r="A125" s="2">
        <v>43956</v>
      </c>
      <c r="B125" s="3" t="s">
        <v>14</v>
      </c>
      <c r="C125" s="3">
        <v>262734</v>
      </c>
      <c r="D125" s="3">
        <v>27278441.145</v>
      </c>
      <c r="I125" s="3">
        <f t="shared" si="1"/>
        <v>19</v>
      </c>
    </row>
    <row r="126" spans="1:9" x14ac:dyDescent="0.25">
      <c r="A126" s="2">
        <v>43949</v>
      </c>
      <c r="B126" s="3" t="s">
        <v>14</v>
      </c>
      <c r="C126" s="3">
        <v>286002</v>
      </c>
      <c r="D126" s="3">
        <v>29159032.5</v>
      </c>
      <c r="I126" s="3">
        <f t="shared" si="1"/>
        <v>18</v>
      </c>
    </row>
    <row r="127" spans="1:9" x14ac:dyDescent="0.25">
      <c r="A127" s="2">
        <v>43964</v>
      </c>
      <c r="B127" s="3" t="s">
        <v>14</v>
      </c>
      <c r="C127" s="3">
        <v>258459</v>
      </c>
      <c r="D127" s="3">
        <v>26467453.5</v>
      </c>
      <c r="I127" s="3">
        <f t="shared" si="1"/>
        <v>20</v>
      </c>
    </row>
    <row r="128" spans="1:9" x14ac:dyDescent="0.25">
      <c r="A128" s="2">
        <v>43954</v>
      </c>
      <c r="B128" s="3" t="s">
        <v>14</v>
      </c>
      <c r="C128" s="3">
        <v>274083</v>
      </c>
      <c r="D128" s="3">
        <v>28427001</v>
      </c>
      <c r="I128" s="3">
        <f t="shared" si="1"/>
        <v>18</v>
      </c>
    </row>
    <row r="129" spans="1:9" x14ac:dyDescent="0.25">
      <c r="A129" s="2">
        <v>43957</v>
      </c>
      <c r="B129" s="3" t="s">
        <v>14</v>
      </c>
      <c r="C129" s="3">
        <v>277512</v>
      </c>
      <c r="D129" s="3">
        <v>28770810.105599999</v>
      </c>
      <c r="I129" s="3">
        <f t="shared" si="1"/>
        <v>19</v>
      </c>
    </row>
    <row r="130" spans="1:9" x14ac:dyDescent="0.25">
      <c r="A130" s="2">
        <v>43974</v>
      </c>
      <c r="B130" s="3" t="s">
        <v>14</v>
      </c>
      <c r="C130" s="3">
        <v>356982</v>
      </c>
      <c r="D130" s="3">
        <v>35103926.711549997</v>
      </c>
      <c r="I130" s="3">
        <f t="shared" si="1"/>
        <v>21</v>
      </c>
    </row>
    <row r="131" spans="1:9" x14ac:dyDescent="0.25">
      <c r="A131" s="2">
        <v>43976</v>
      </c>
      <c r="B131" s="3" t="s">
        <v>14</v>
      </c>
      <c r="C131" s="3">
        <v>266983.5</v>
      </c>
      <c r="D131" s="3">
        <v>27165913.5</v>
      </c>
      <c r="I131" s="3">
        <f t="shared" ref="I131:I194" si="2">WEEKNUM(A131,2)</f>
        <v>22</v>
      </c>
    </row>
    <row r="132" spans="1:9" x14ac:dyDescent="0.25">
      <c r="A132" s="2">
        <v>43951</v>
      </c>
      <c r="B132" s="3" t="s">
        <v>14</v>
      </c>
      <c r="C132" s="3">
        <v>311131.5</v>
      </c>
      <c r="D132" s="3">
        <v>32418879</v>
      </c>
      <c r="I132" s="3">
        <f t="shared" si="2"/>
        <v>18</v>
      </c>
    </row>
    <row r="133" spans="1:9" x14ac:dyDescent="0.25">
      <c r="A133" s="2">
        <v>43961</v>
      </c>
      <c r="B133" s="3" t="s">
        <v>14</v>
      </c>
      <c r="C133" s="3">
        <v>287206.5</v>
      </c>
      <c r="D133" s="3">
        <v>29536176.10605</v>
      </c>
      <c r="I133" s="3">
        <f t="shared" si="2"/>
        <v>19</v>
      </c>
    </row>
    <row r="134" spans="1:9" x14ac:dyDescent="0.25">
      <c r="A134" s="2">
        <v>43959</v>
      </c>
      <c r="B134" s="3" t="s">
        <v>14</v>
      </c>
      <c r="C134" s="3">
        <v>370092</v>
      </c>
      <c r="D134" s="3">
        <v>38091556.5</v>
      </c>
      <c r="I134" s="3">
        <f t="shared" si="2"/>
        <v>19</v>
      </c>
    </row>
    <row r="135" spans="1:9" x14ac:dyDescent="0.25">
      <c r="A135" s="2">
        <v>43958</v>
      </c>
      <c r="B135" s="3" t="s">
        <v>14</v>
      </c>
      <c r="C135" s="3">
        <v>247813.5</v>
      </c>
      <c r="D135" s="3">
        <v>25325271</v>
      </c>
      <c r="I135" s="3">
        <f t="shared" si="2"/>
        <v>19</v>
      </c>
    </row>
    <row r="136" spans="1:9" x14ac:dyDescent="0.25">
      <c r="A136" s="2">
        <v>43975</v>
      </c>
      <c r="B136" s="3" t="s">
        <v>14</v>
      </c>
      <c r="C136" s="3">
        <v>287740.5</v>
      </c>
      <c r="D136" s="3">
        <v>28188534</v>
      </c>
      <c r="I136" s="3">
        <f t="shared" si="2"/>
        <v>21</v>
      </c>
    </row>
    <row r="137" spans="1:9" x14ac:dyDescent="0.25">
      <c r="A137" s="2">
        <v>43967</v>
      </c>
      <c r="B137" s="3" t="s">
        <v>15</v>
      </c>
      <c r="C137" s="3">
        <v>408810</v>
      </c>
      <c r="D137" s="3">
        <v>42323631</v>
      </c>
      <c r="I137" s="3">
        <f t="shared" si="2"/>
        <v>20</v>
      </c>
    </row>
    <row r="138" spans="1:9" x14ac:dyDescent="0.25">
      <c r="A138" s="2">
        <v>43970</v>
      </c>
      <c r="B138" s="3" t="s">
        <v>15</v>
      </c>
      <c r="C138" s="3">
        <v>362536.5</v>
      </c>
      <c r="D138" s="3">
        <v>37023243</v>
      </c>
      <c r="I138" s="3">
        <f t="shared" si="2"/>
        <v>21</v>
      </c>
    </row>
    <row r="139" spans="1:9" x14ac:dyDescent="0.25">
      <c r="A139" s="2">
        <v>43968</v>
      </c>
      <c r="B139" s="3" t="s">
        <v>15</v>
      </c>
      <c r="C139" s="3">
        <v>357072</v>
      </c>
      <c r="D139" s="3">
        <v>36834567</v>
      </c>
      <c r="I139" s="3">
        <f t="shared" si="2"/>
        <v>20</v>
      </c>
    </row>
    <row r="140" spans="1:9" x14ac:dyDescent="0.25">
      <c r="A140" s="2">
        <v>43960</v>
      </c>
      <c r="B140" s="3" t="s">
        <v>15</v>
      </c>
      <c r="C140" s="3">
        <v>359214</v>
      </c>
      <c r="D140" s="3">
        <v>38693427</v>
      </c>
      <c r="I140" s="3">
        <f t="shared" si="2"/>
        <v>19</v>
      </c>
    </row>
    <row r="141" spans="1:9" x14ac:dyDescent="0.25">
      <c r="A141" s="2">
        <v>43955</v>
      </c>
      <c r="B141" s="3" t="s">
        <v>15</v>
      </c>
      <c r="C141" s="3">
        <v>360255</v>
      </c>
      <c r="D141" s="3">
        <v>38406954</v>
      </c>
      <c r="I141" s="3">
        <f t="shared" si="2"/>
        <v>19</v>
      </c>
    </row>
    <row r="142" spans="1:9" x14ac:dyDescent="0.25">
      <c r="A142" s="2">
        <v>43950</v>
      </c>
      <c r="B142" s="3" t="s">
        <v>15</v>
      </c>
      <c r="C142" s="3">
        <v>387220.5</v>
      </c>
      <c r="D142" s="3">
        <v>41559384</v>
      </c>
      <c r="I142" s="3">
        <f t="shared" si="2"/>
        <v>18</v>
      </c>
    </row>
    <row r="143" spans="1:9" x14ac:dyDescent="0.25">
      <c r="A143" s="2">
        <v>43953</v>
      </c>
      <c r="B143" s="3" t="s">
        <v>15</v>
      </c>
      <c r="C143" s="3">
        <v>296580</v>
      </c>
      <c r="D143" s="3">
        <v>31843737</v>
      </c>
      <c r="I143" s="3">
        <f t="shared" si="2"/>
        <v>18</v>
      </c>
    </row>
    <row r="144" spans="1:9" x14ac:dyDescent="0.25">
      <c r="A144" s="2">
        <v>43977</v>
      </c>
      <c r="B144" s="3" t="s">
        <v>15</v>
      </c>
      <c r="C144" s="3">
        <v>369861</v>
      </c>
      <c r="D144" s="3">
        <v>38365960.5</v>
      </c>
      <c r="I144" s="3">
        <f t="shared" si="2"/>
        <v>22</v>
      </c>
    </row>
    <row r="145" spans="1:9" x14ac:dyDescent="0.25">
      <c r="A145" s="2">
        <v>43952</v>
      </c>
      <c r="B145" s="3" t="s">
        <v>15</v>
      </c>
      <c r="C145" s="3">
        <v>372504</v>
      </c>
      <c r="D145" s="3">
        <v>40077193.5</v>
      </c>
      <c r="I145" s="3">
        <f t="shared" si="2"/>
        <v>18</v>
      </c>
    </row>
    <row r="146" spans="1:9" x14ac:dyDescent="0.25">
      <c r="A146" s="2">
        <v>43963</v>
      </c>
      <c r="B146" s="3" t="s">
        <v>15</v>
      </c>
      <c r="C146" s="3">
        <v>373392</v>
      </c>
      <c r="D146" s="3">
        <v>39578577</v>
      </c>
      <c r="I146" s="3">
        <f t="shared" si="2"/>
        <v>20</v>
      </c>
    </row>
    <row r="147" spans="1:9" x14ac:dyDescent="0.25">
      <c r="A147" s="2">
        <v>43972</v>
      </c>
      <c r="B147" s="3" t="s">
        <v>15</v>
      </c>
      <c r="C147" s="3">
        <v>378043.5</v>
      </c>
      <c r="D147" s="3">
        <v>37902156.57</v>
      </c>
      <c r="I147" s="3">
        <f t="shared" si="2"/>
        <v>21</v>
      </c>
    </row>
    <row r="148" spans="1:9" x14ac:dyDescent="0.25">
      <c r="A148" s="2">
        <v>43971</v>
      </c>
      <c r="B148" s="3" t="s">
        <v>15</v>
      </c>
      <c r="C148" s="3">
        <v>388668</v>
      </c>
      <c r="D148" s="3">
        <v>39639309</v>
      </c>
      <c r="I148" s="3">
        <f t="shared" si="2"/>
        <v>21</v>
      </c>
    </row>
    <row r="149" spans="1:9" x14ac:dyDescent="0.25">
      <c r="A149" s="2">
        <v>43956</v>
      </c>
      <c r="B149" s="3" t="s">
        <v>15</v>
      </c>
      <c r="C149" s="3">
        <v>333792</v>
      </c>
      <c r="D149" s="3">
        <v>35671734</v>
      </c>
      <c r="I149" s="3">
        <f t="shared" si="2"/>
        <v>19</v>
      </c>
    </row>
    <row r="150" spans="1:9" x14ac:dyDescent="0.25">
      <c r="A150" s="2">
        <v>43949</v>
      </c>
      <c r="B150" s="3" t="s">
        <v>15</v>
      </c>
      <c r="C150" s="3">
        <v>376060.5</v>
      </c>
      <c r="D150" s="3">
        <v>39918028.5</v>
      </c>
      <c r="I150" s="3">
        <f t="shared" si="2"/>
        <v>18</v>
      </c>
    </row>
    <row r="151" spans="1:9" x14ac:dyDescent="0.25">
      <c r="A151" s="2">
        <v>43964</v>
      </c>
      <c r="B151" s="3" t="s">
        <v>15</v>
      </c>
      <c r="C151" s="3">
        <v>350068.5</v>
      </c>
      <c r="D151" s="3">
        <v>37197115.5</v>
      </c>
      <c r="I151" s="3">
        <f t="shared" si="2"/>
        <v>20</v>
      </c>
    </row>
    <row r="152" spans="1:9" x14ac:dyDescent="0.25">
      <c r="A152" s="2">
        <v>43982</v>
      </c>
      <c r="B152" s="3" t="s">
        <v>14</v>
      </c>
      <c r="C152" s="3">
        <v>294337.5</v>
      </c>
      <c r="D152" s="3">
        <v>29327766</v>
      </c>
      <c r="I152" s="3">
        <f t="shared" si="2"/>
        <v>22</v>
      </c>
    </row>
    <row r="153" spans="1:9" x14ac:dyDescent="0.25">
      <c r="A153" s="2">
        <v>43954</v>
      </c>
      <c r="B153" s="3" t="s">
        <v>15</v>
      </c>
      <c r="C153" s="3">
        <v>342666</v>
      </c>
      <c r="D153" s="3">
        <v>36631999.5</v>
      </c>
      <c r="I153" s="3">
        <f t="shared" si="2"/>
        <v>18</v>
      </c>
    </row>
    <row r="154" spans="1:9" x14ac:dyDescent="0.25">
      <c r="A154" s="2">
        <v>43981</v>
      </c>
      <c r="B154" s="3" t="s">
        <v>14</v>
      </c>
      <c r="C154" s="3">
        <v>364882.5</v>
      </c>
      <c r="D154" s="3">
        <v>35724493.5</v>
      </c>
      <c r="I154" s="3">
        <f t="shared" si="2"/>
        <v>22</v>
      </c>
    </row>
    <row r="155" spans="1:9" x14ac:dyDescent="0.25">
      <c r="A155" s="2">
        <v>43957</v>
      </c>
      <c r="B155" s="3" t="s">
        <v>15</v>
      </c>
      <c r="C155" s="3">
        <v>355278</v>
      </c>
      <c r="D155" s="3">
        <v>38092344</v>
      </c>
      <c r="I155" s="3">
        <f t="shared" si="2"/>
        <v>19</v>
      </c>
    </row>
    <row r="156" spans="1:9" x14ac:dyDescent="0.25">
      <c r="A156" s="2">
        <v>43974</v>
      </c>
      <c r="B156" s="3" t="s">
        <v>15</v>
      </c>
      <c r="C156" s="3">
        <v>456885</v>
      </c>
      <c r="D156" s="3">
        <v>46408080</v>
      </c>
      <c r="I156" s="3">
        <f t="shared" si="2"/>
        <v>21</v>
      </c>
    </row>
    <row r="157" spans="1:9" x14ac:dyDescent="0.25">
      <c r="A157" s="2">
        <v>43979</v>
      </c>
      <c r="B157" s="3" t="s">
        <v>14</v>
      </c>
      <c r="C157" s="3">
        <v>278491.5</v>
      </c>
      <c r="D157" s="3">
        <v>28151004.75</v>
      </c>
      <c r="I157" s="3">
        <f t="shared" si="2"/>
        <v>22</v>
      </c>
    </row>
    <row r="158" spans="1:9" x14ac:dyDescent="0.25">
      <c r="A158" s="2">
        <v>43976</v>
      </c>
      <c r="B158" s="3" t="s">
        <v>15</v>
      </c>
      <c r="C158" s="3">
        <v>349734</v>
      </c>
      <c r="D158" s="3">
        <v>36883428</v>
      </c>
      <c r="I158" s="3">
        <f t="shared" si="2"/>
        <v>22</v>
      </c>
    </row>
    <row r="159" spans="1:9" x14ac:dyDescent="0.25">
      <c r="A159" s="2">
        <v>43951</v>
      </c>
      <c r="B159" s="3" t="s">
        <v>15</v>
      </c>
      <c r="C159" s="3">
        <v>401580</v>
      </c>
      <c r="D159" s="3">
        <v>43028734.5</v>
      </c>
      <c r="I159" s="3">
        <f t="shared" si="2"/>
        <v>18</v>
      </c>
    </row>
    <row r="160" spans="1:9" x14ac:dyDescent="0.25">
      <c r="A160" s="2">
        <v>43961</v>
      </c>
      <c r="B160" s="3" t="s">
        <v>15</v>
      </c>
      <c r="C160" s="3">
        <v>368649</v>
      </c>
      <c r="D160" s="3">
        <v>39010875</v>
      </c>
      <c r="I160" s="3">
        <f t="shared" si="2"/>
        <v>19</v>
      </c>
    </row>
    <row r="161" spans="1:9" x14ac:dyDescent="0.25">
      <c r="A161" s="2">
        <v>43959</v>
      </c>
      <c r="B161" s="3" t="s">
        <v>15</v>
      </c>
      <c r="C161" s="3">
        <v>463530</v>
      </c>
      <c r="D161" s="3">
        <v>49123180.5</v>
      </c>
      <c r="I161" s="3">
        <f t="shared" si="2"/>
        <v>19</v>
      </c>
    </row>
    <row r="162" spans="1:9" x14ac:dyDescent="0.25">
      <c r="A162" s="2">
        <v>43958</v>
      </c>
      <c r="B162" s="3" t="s">
        <v>15</v>
      </c>
      <c r="C162" s="3">
        <v>319110</v>
      </c>
      <c r="D162" s="3">
        <v>33763989</v>
      </c>
      <c r="I162" s="3">
        <f t="shared" si="2"/>
        <v>19</v>
      </c>
    </row>
    <row r="163" spans="1:9" x14ac:dyDescent="0.25">
      <c r="A163" s="2">
        <v>43975</v>
      </c>
      <c r="B163" s="3" t="s">
        <v>15</v>
      </c>
      <c r="C163" s="3">
        <v>375744</v>
      </c>
      <c r="D163" s="3">
        <v>38191381.5</v>
      </c>
      <c r="I163" s="3">
        <f t="shared" si="2"/>
        <v>21</v>
      </c>
    </row>
    <row r="164" spans="1:9" x14ac:dyDescent="0.25">
      <c r="A164" s="2">
        <v>43967</v>
      </c>
      <c r="B164" s="3" t="s">
        <v>16</v>
      </c>
      <c r="C164" s="3">
        <v>81331.5</v>
      </c>
      <c r="D164" s="3">
        <v>6652179</v>
      </c>
      <c r="I164" s="3">
        <f t="shared" si="2"/>
        <v>20</v>
      </c>
    </row>
    <row r="165" spans="1:9" x14ac:dyDescent="0.25">
      <c r="A165" s="2">
        <v>43970</v>
      </c>
      <c r="B165" s="3" t="s">
        <v>16</v>
      </c>
      <c r="C165" s="3">
        <v>75796.5</v>
      </c>
      <c r="D165" s="3">
        <v>6173463</v>
      </c>
      <c r="I165" s="3">
        <f t="shared" si="2"/>
        <v>21</v>
      </c>
    </row>
    <row r="166" spans="1:9" x14ac:dyDescent="0.25">
      <c r="A166" s="2">
        <v>43968</v>
      </c>
      <c r="B166" s="3" t="s">
        <v>16</v>
      </c>
      <c r="C166" s="3">
        <v>72861</v>
      </c>
      <c r="D166" s="3">
        <v>5952802.5</v>
      </c>
      <c r="I166" s="3">
        <f t="shared" si="2"/>
        <v>20</v>
      </c>
    </row>
    <row r="167" spans="1:9" x14ac:dyDescent="0.25">
      <c r="A167" s="2">
        <v>43960</v>
      </c>
      <c r="B167" s="3" t="s">
        <v>16</v>
      </c>
      <c r="C167" s="3">
        <v>83373</v>
      </c>
      <c r="D167" s="3">
        <v>7253427</v>
      </c>
      <c r="I167" s="3">
        <f t="shared" si="2"/>
        <v>19</v>
      </c>
    </row>
    <row r="168" spans="1:9" x14ac:dyDescent="0.25">
      <c r="A168" s="2">
        <v>43955</v>
      </c>
      <c r="B168" s="3" t="s">
        <v>16</v>
      </c>
      <c r="C168" s="3">
        <v>64108.5</v>
      </c>
      <c r="D168" s="3">
        <v>5561452.5</v>
      </c>
      <c r="I168" s="3">
        <f t="shared" si="2"/>
        <v>19</v>
      </c>
    </row>
    <row r="169" spans="1:9" x14ac:dyDescent="0.25">
      <c r="A169" s="2">
        <v>43950</v>
      </c>
      <c r="B169" s="3" t="s">
        <v>16</v>
      </c>
      <c r="C169" s="3">
        <v>74707.5</v>
      </c>
      <c r="D169" s="3">
        <v>6454458</v>
      </c>
      <c r="I169" s="3">
        <f t="shared" si="2"/>
        <v>18</v>
      </c>
    </row>
    <row r="170" spans="1:9" x14ac:dyDescent="0.25">
      <c r="A170" s="2">
        <v>43953</v>
      </c>
      <c r="B170" s="3" t="s">
        <v>16</v>
      </c>
      <c r="C170" s="3">
        <v>46216.5</v>
      </c>
      <c r="D170" s="3">
        <v>4118251.5</v>
      </c>
      <c r="I170" s="3">
        <f t="shared" si="2"/>
        <v>18</v>
      </c>
    </row>
    <row r="171" spans="1:9" x14ac:dyDescent="0.25">
      <c r="A171" s="2">
        <v>43977</v>
      </c>
      <c r="B171" s="3" t="s">
        <v>16</v>
      </c>
      <c r="C171" s="3">
        <v>67726.5</v>
      </c>
      <c r="D171" s="3">
        <v>5864989.5</v>
      </c>
      <c r="I171" s="3">
        <f t="shared" si="2"/>
        <v>22</v>
      </c>
    </row>
    <row r="172" spans="1:9" x14ac:dyDescent="0.25">
      <c r="A172" s="2">
        <v>43952</v>
      </c>
      <c r="B172" s="3" t="s">
        <v>16</v>
      </c>
      <c r="C172" s="3">
        <v>82228.5</v>
      </c>
      <c r="D172" s="3">
        <v>7032225</v>
      </c>
      <c r="I172" s="3">
        <f t="shared" si="2"/>
        <v>18</v>
      </c>
    </row>
    <row r="173" spans="1:9" x14ac:dyDescent="0.25">
      <c r="A173" s="2">
        <v>43963</v>
      </c>
      <c r="B173" s="3" t="s">
        <v>16</v>
      </c>
      <c r="C173" s="3">
        <v>64390.5</v>
      </c>
      <c r="D173" s="3">
        <v>5523145.5</v>
      </c>
      <c r="I173" s="3">
        <f t="shared" si="2"/>
        <v>20</v>
      </c>
    </row>
    <row r="174" spans="1:9" x14ac:dyDescent="0.25">
      <c r="A174" s="2">
        <v>43972</v>
      </c>
      <c r="B174" s="3" t="s">
        <v>16</v>
      </c>
      <c r="C174" s="3">
        <v>73126.5</v>
      </c>
      <c r="D174" s="3">
        <v>5864085</v>
      </c>
      <c r="I174" s="3">
        <f t="shared" si="2"/>
        <v>21</v>
      </c>
    </row>
    <row r="175" spans="1:9" x14ac:dyDescent="0.25">
      <c r="A175" s="2">
        <v>43971</v>
      </c>
      <c r="B175" s="3" t="s">
        <v>16</v>
      </c>
      <c r="C175" s="3">
        <v>99631.5</v>
      </c>
      <c r="D175" s="3">
        <v>7121946</v>
      </c>
      <c r="I175" s="3">
        <f t="shared" si="2"/>
        <v>21</v>
      </c>
    </row>
    <row r="176" spans="1:9" x14ac:dyDescent="0.25">
      <c r="A176" s="2">
        <v>43956</v>
      </c>
      <c r="B176" s="3" t="s">
        <v>16</v>
      </c>
      <c r="C176" s="3">
        <v>66396</v>
      </c>
      <c r="D176" s="3">
        <v>5770539</v>
      </c>
      <c r="I176" s="3">
        <f t="shared" si="2"/>
        <v>19</v>
      </c>
    </row>
    <row r="177" spans="1:9" x14ac:dyDescent="0.25">
      <c r="A177" s="2">
        <v>43949</v>
      </c>
      <c r="B177" s="3" t="s">
        <v>16</v>
      </c>
      <c r="C177" s="3">
        <v>73147.5</v>
      </c>
      <c r="D177" s="3">
        <v>6288246</v>
      </c>
      <c r="I177" s="3">
        <f t="shared" si="2"/>
        <v>18</v>
      </c>
    </row>
    <row r="178" spans="1:9" x14ac:dyDescent="0.25">
      <c r="A178" s="2">
        <v>43964</v>
      </c>
      <c r="B178" s="3" t="s">
        <v>16</v>
      </c>
      <c r="C178" s="3">
        <v>73062</v>
      </c>
      <c r="D178" s="3">
        <v>6333828</v>
      </c>
      <c r="I178" s="3">
        <f t="shared" si="2"/>
        <v>20</v>
      </c>
    </row>
    <row r="179" spans="1:9" x14ac:dyDescent="0.25">
      <c r="A179" s="2">
        <v>43982</v>
      </c>
      <c r="B179" s="3" t="s">
        <v>15</v>
      </c>
      <c r="C179" s="3">
        <v>379663.5</v>
      </c>
      <c r="D179" s="3">
        <v>39380178</v>
      </c>
      <c r="I179" s="3">
        <f t="shared" si="2"/>
        <v>22</v>
      </c>
    </row>
    <row r="180" spans="1:9" x14ac:dyDescent="0.25">
      <c r="A180" s="2">
        <v>43954</v>
      </c>
      <c r="B180" s="3" t="s">
        <v>16</v>
      </c>
      <c r="C180" s="3">
        <v>70581</v>
      </c>
      <c r="D180" s="3">
        <v>6221320.5</v>
      </c>
      <c r="I180" s="3">
        <f t="shared" si="2"/>
        <v>18</v>
      </c>
    </row>
    <row r="181" spans="1:9" x14ac:dyDescent="0.25">
      <c r="A181" s="2">
        <v>43981</v>
      </c>
      <c r="B181" s="3" t="s">
        <v>15</v>
      </c>
      <c r="C181" s="3">
        <v>453123</v>
      </c>
      <c r="D181" s="3">
        <v>46370904</v>
      </c>
      <c r="I181" s="3">
        <f t="shared" si="2"/>
        <v>22</v>
      </c>
    </row>
    <row r="182" spans="1:9" x14ac:dyDescent="0.25">
      <c r="A182" s="2">
        <v>43957</v>
      </c>
      <c r="B182" s="3" t="s">
        <v>16</v>
      </c>
      <c r="C182" s="3">
        <v>63012</v>
      </c>
      <c r="D182" s="3">
        <v>5454121.5</v>
      </c>
      <c r="I182" s="3">
        <f t="shared" si="2"/>
        <v>19</v>
      </c>
    </row>
    <row r="183" spans="1:9" x14ac:dyDescent="0.25">
      <c r="A183" s="2">
        <v>43974</v>
      </c>
      <c r="B183" s="3" t="s">
        <v>16</v>
      </c>
      <c r="C183" s="3">
        <v>89556</v>
      </c>
      <c r="D183" s="3">
        <v>7173117</v>
      </c>
      <c r="I183" s="3">
        <f t="shared" si="2"/>
        <v>21</v>
      </c>
    </row>
    <row r="184" spans="1:9" x14ac:dyDescent="0.25">
      <c r="A184" s="2">
        <v>43979</v>
      </c>
      <c r="B184" s="3" t="s">
        <v>15</v>
      </c>
      <c r="C184" s="3">
        <v>364638</v>
      </c>
      <c r="D184" s="3">
        <v>37947688.5</v>
      </c>
      <c r="I184" s="3">
        <f t="shared" si="2"/>
        <v>22</v>
      </c>
    </row>
    <row r="185" spans="1:9" x14ac:dyDescent="0.25">
      <c r="A185" s="2">
        <v>43976</v>
      </c>
      <c r="B185" s="3" t="s">
        <v>16</v>
      </c>
      <c r="C185" s="3">
        <v>66316.5</v>
      </c>
      <c r="D185" s="3">
        <v>5704650</v>
      </c>
      <c r="I185" s="3">
        <f t="shared" si="2"/>
        <v>22</v>
      </c>
    </row>
    <row r="186" spans="1:9" x14ac:dyDescent="0.25">
      <c r="A186" s="2">
        <v>43951</v>
      </c>
      <c r="B186" s="3" t="s">
        <v>16</v>
      </c>
      <c r="C186" s="3">
        <v>78235.5</v>
      </c>
      <c r="D186" s="3">
        <v>6819594</v>
      </c>
      <c r="I186" s="3">
        <f t="shared" si="2"/>
        <v>18</v>
      </c>
    </row>
    <row r="187" spans="1:9" x14ac:dyDescent="0.25">
      <c r="A187" s="2">
        <v>43961</v>
      </c>
      <c r="B187" s="3" t="s">
        <v>16</v>
      </c>
      <c r="C187" s="3">
        <v>88311</v>
      </c>
      <c r="D187" s="3">
        <v>7726069.5</v>
      </c>
      <c r="I187" s="3">
        <f t="shared" si="2"/>
        <v>19</v>
      </c>
    </row>
    <row r="188" spans="1:9" x14ac:dyDescent="0.25">
      <c r="A188" s="2">
        <v>43959</v>
      </c>
      <c r="B188" s="3" t="s">
        <v>16</v>
      </c>
      <c r="C188" s="3">
        <v>61804.5</v>
      </c>
      <c r="D188" s="3">
        <v>5365708.5</v>
      </c>
      <c r="I188" s="3">
        <f t="shared" si="2"/>
        <v>19</v>
      </c>
    </row>
    <row r="189" spans="1:9" x14ac:dyDescent="0.25">
      <c r="A189" s="2">
        <v>43958</v>
      </c>
      <c r="B189" s="3" t="s">
        <v>16</v>
      </c>
      <c r="C189" s="3">
        <v>71067</v>
      </c>
      <c r="D189" s="3">
        <v>6175837.5</v>
      </c>
      <c r="I189" s="3">
        <f t="shared" si="2"/>
        <v>19</v>
      </c>
    </row>
    <row r="190" spans="1:9" x14ac:dyDescent="0.25">
      <c r="A190" s="2">
        <v>43975</v>
      </c>
      <c r="B190" s="3" t="s">
        <v>16</v>
      </c>
      <c r="C190" s="3">
        <v>74649</v>
      </c>
      <c r="D190" s="3">
        <v>6098236.5</v>
      </c>
      <c r="I190" s="3">
        <f t="shared" si="2"/>
        <v>21</v>
      </c>
    </row>
    <row r="191" spans="1:9" x14ac:dyDescent="0.25">
      <c r="A191" s="2">
        <v>43967</v>
      </c>
      <c r="B191" s="3" t="s">
        <v>17</v>
      </c>
      <c r="C191" s="3">
        <v>44560.5</v>
      </c>
      <c r="D191" s="3">
        <v>4025148</v>
      </c>
      <c r="I191" s="3">
        <f t="shared" si="2"/>
        <v>20</v>
      </c>
    </row>
    <row r="192" spans="1:9" x14ac:dyDescent="0.25">
      <c r="A192" s="2">
        <v>43970</v>
      </c>
      <c r="B192" s="3" t="s">
        <v>17</v>
      </c>
      <c r="C192" s="3">
        <v>38250</v>
      </c>
      <c r="D192" s="3">
        <v>3552937.5</v>
      </c>
      <c r="I192" s="3">
        <f t="shared" si="2"/>
        <v>21</v>
      </c>
    </row>
    <row r="193" spans="1:9" x14ac:dyDescent="0.25">
      <c r="A193" s="2">
        <v>43968</v>
      </c>
      <c r="B193" s="3" t="s">
        <v>17</v>
      </c>
      <c r="C193" s="3">
        <v>34830</v>
      </c>
      <c r="D193" s="3">
        <v>3191155.5</v>
      </c>
      <c r="I193" s="3">
        <f t="shared" si="2"/>
        <v>20</v>
      </c>
    </row>
    <row r="194" spans="1:9" x14ac:dyDescent="0.25">
      <c r="A194" s="2">
        <v>43960</v>
      </c>
      <c r="B194" s="3" t="s">
        <v>17</v>
      </c>
      <c r="C194" s="3">
        <v>32239.5</v>
      </c>
      <c r="D194" s="3">
        <v>3084892.5</v>
      </c>
      <c r="I194" s="3">
        <f t="shared" si="2"/>
        <v>19</v>
      </c>
    </row>
    <row r="195" spans="1:9" x14ac:dyDescent="0.25">
      <c r="A195" s="2">
        <v>43955</v>
      </c>
      <c r="B195" s="3" t="s">
        <v>17</v>
      </c>
      <c r="C195" s="3">
        <v>30780</v>
      </c>
      <c r="D195" s="3">
        <v>2817853.5</v>
      </c>
      <c r="I195" s="3">
        <f t="shared" ref="I195:I258" si="3">WEEKNUM(A195,2)</f>
        <v>19</v>
      </c>
    </row>
    <row r="196" spans="1:9" x14ac:dyDescent="0.25">
      <c r="A196" s="2">
        <v>43950</v>
      </c>
      <c r="B196" s="3" t="s">
        <v>17</v>
      </c>
      <c r="C196" s="3">
        <v>29142</v>
      </c>
      <c r="D196" s="3">
        <v>2627595</v>
      </c>
      <c r="I196" s="3">
        <f t="shared" si="3"/>
        <v>18</v>
      </c>
    </row>
    <row r="197" spans="1:9" x14ac:dyDescent="0.25">
      <c r="A197" s="2">
        <v>43953</v>
      </c>
      <c r="B197" s="3" t="s">
        <v>17</v>
      </c>
      <c r="C197" s="3">
        <v>26428.5</v>
      </c>
      <c r="D197" s="3">
        <v>2470465.5</v>
      </c>
      <c r="I197" s="3">
        <f t="shared" si="3"/>
        <v>18</v>
      </c>
    </row>
    <row r="198" spans="1:9" x14ac:dyDescent="0.25">
      <c r="A198" s="2">
        <v>43977</v>
      </c>
      <c r="B198" s="3" t="s">
        <v>17</v>
      </c>
      <c r="C198" s="3">
        <v>40744.5</v>
      </c>
      <c r="D198" s="3">
        <v>3700311</v>
      </c>
      <c r="I198" s="3">
        <f t="shared" si="3"/>
        <v>22</v>
      </c>
    </row>
    <row r="199" spans="1:9" x14ac:dyDescent="0.25">
      <c r="A199" s="2">
        <v>43952</v>
      </c>
      <c r="B199" s="3" t="s">
        <v>17</v>
      </c>
      <c r="C199" s="3">
        <v>46620</v>
      </c>
      <c r="D199" s="3">
        <v>4293241.5</v>
      </c>
      <c r="I199" s="3">
        <f t="shared" si="3"/>
        <v>18</v>
      </c>
    </row>
    <row r="200" spans="1:9" x14ac:dyDescent="0.25">
      <c r="A200" s="2">
        <v>43963</v>
      </c>
      <c r="B200" s="3" t="s">
        <v>17</v>
      </c>
      <c r="C200" s="3">
        <v>32419.5</v>
      </c>
      <c r="D200" s="3">
        <v>3080614.5</v>
      </c>
      <c r="I200" s="3">
        <f t="shared" si="3"/>
        <v>20</v>
      </c>
    </row>
    <row r="201" spans="1:9" x14ac:dyDescent="0.25">
      <c r="A201" s="2">
        <v>43972</v>
      </c>
      <c r="B201" s="3" t="s">
        <v>17</v>
      </c>
      <c r="C201" s="3">
        <v>40819.5</v>
      </c>
      <c r="D201" s="3">
        <v>3810394.5</v>
      </c>
      <c r="I201" s="3">
        <f t="shared" si="3"/>
        <v>21</v>
      </c>
    </row>
    <row r="202" spans="1:9" x14ac:dyDescent="0.25">
      <c r="A202" s="2">
        <v>43971</v>
      </c>
      <c r="B202" s="3" t="s">
        <v>17</v>
      </c>
      <c r="C202" s="3">
        <v>41391</v>
      </c>
      <c r="D202" s="3">
        <v>3918987</v>
      </c>
      <c r="I202" s="3">
        <f t="shared" si="3"/>
        <v>21</v>
      </c>
    </row>
    <row r="203" spans="1:9" x14ac:dyDescent="0.25">
      <c r="A203" s="2">
        <v>43956</v>
      </c>
      <c r="B203" s="3" t="s">
        <v>17</v>
      </c>
      <c r="C203" s="3">
        <v>29482.5</v>
      </c>
      <c r="D203" s="3">
        <v>2648688</v>
      </c>
      <c r="I203" s="3">
        <f t="shared" si="3"/>
        <v>19</v>
      </c>
    </row>
    <row r="204" spans="1:9" x14ac:dyDescent="0.25">
      <c r="A204" s="2">
        <v>43949</v>
      </c>
      <c r="B204" s="3" t="s">
        <v>17</v>
      </c>
      <c r="C204" s="3">
        <v>32181</v>
      </c>
      <c r="D204" s="3">
        <v>2863600.5</v>
      </c>
      <c r="I204" s="3">
        <f t="shared" si="3"/>
        <v>18</v>
      </c>
    </row>
    <row r="205" spans="1:9" x14ac:dyDescent="0.25">
      <c r="A205" s="2">
        <v>43964</v>
      </c>
      <c r="B205" s="3" t="s">
        <v>17</v>
      </c>
      <c r="C205" s="3">
        <v>35535</v>
      </c>
      <c r="D205" s="3">
        <v>3288069</v>
      </c>
      <c r="I205" s="3">
        <f t="shared" si="3"/>
        <v>20</v>
      </c>
    </row>
    <row r="206" spans="1:9" x14ac:dyDescent="0.25">
      <c r="A206" s="2">
        <v>43982</v>
      </c>
      <c r="B206" s="3" t="s">
        <v>16</v>
      </c>
      <c r="C206" s="3">
        <v>76234.5</v>
      </c>
      <c r="D206" s="3">
        <v>6500848.5</v>
      </c>
      <c r="I206" s="3">
        <f t="shared" si="3"/>
        <v>22</v>
      </c>
    </row>
    <row r="207" spans="1:9" x14ac:dyDescent="0.25">
      <c r="A207" s="2">
        <v>43954</v>
      </c>
      <c r="B207" s="3" t="s">
        <v>17</v>
      </c>
      <c r="C207" s="3">
        <v>29935.5</v>
      </c>
      <c r="D207" s="3">
        <v>2720002.5</v>
      </c>
      <c r="I207" s="3">
        <f t="shared" si="3"/>
        <v>18</v>
      </c>
    </row>
    <row r="208" spans="1:9" x14ac:dyDescent="0.25">
      <c r="A208" s="2">
        <v>43981</v>
      </c>
      <c r="B208" s="3" t="s">
        <v>16</v>
      </c>
      <c r="C208" s="3">
        <v>106926</v>
      </c>
      <c r="D208" s="3">
        <v>9098386.5</v>
      </c>
      <c r="I208" s="3">
        <f t="shared" si="3"/>
        <v>22</v>
      </c>
    </row>
    <row r="209" spans="1:9" x14ac:dyDescent="0.25">
      <c r="A209" s="2">
        <v>43957</v>
      </c>
      <c r="B209" s="3" t="s">
        <v>17</v>
      </c>
      <c r="C209" s="3">
        <v>30342</v>
      </c>
      <c r="D209" s="3">
        <v>2738127</v>
      </c>
      <c r="I209" s="3">
        <f t="shared" si="3"/>
        <v>19</v>
      </c>
    </row>
    <row r="210" spans="1:9" x14ac:dyDescent="0.25">
      <c r="A210" s="2">
        <v>43974</v>
      </c>
      <c r="B210" s="3" t="s">
        <v>17</v>
      </c>
      <c r="C210" s="3">
        <v>42999</v>
      </c>
      <c r="D210" s="3">
        <v>3883215</v>
      </c>
      <c r="I210" s="3">
        <f t="shared" si="3"/>
        <v>21</v>
      </c>
    </row>
    <row r="211" spans="1:9" x14ac:dyDescent="0.25">
      <c r="A211" s="2">
        <v>43979</v>
      </c>
      <c r="B211" s="3" t="s">
        <v>16</v>
      </c>
      <c r="C211" s="3">
        <v>69945</v>
      </c>
      <c r="D211" s="3">
        <v>6101931</v>
      </c>
      <c r="I211" s="3">
        <f t="shared" si="3"/>
        <v>22</v>
      </c>
    </row>
    <row r="212" spans="1:9" x14ac:dyDescent="0.25">
      <c r="A212" s="2">
        <v>43976</v>
      </c>
      <c r="B212" s="3" t="s">
        <v>17</v>
      </c>
      <c r="C212" s="3">
        <v>38740.5</v>
      </c>
      <c r="D212" s="3">
        <v>3561655.5</v>
      </c>
      <c r="I212" s="3">
        <f t="shared" si="3"/>
        <v>22</v>
      </c>
    </row>
    <row r="213" spans="1:9" x14ac:dyDescent="0.25">
      <c r="A213" s="2">
        <v>43951</v>
      </c>
      <c r="B213" s="3" t="s">
        <v>17</v>
      </c>
      <c r="C213" s="3">
        <v>31231.5</v>
      </c>
      <c r="D213" s="3">
        <v>2853310.5</v>
      </c>
      <c r="I213" s="3">
        <f t="shared" si="3"/>
        <v>18</v>
      </c>
    </row>
    <row r="214" spans="1:9" x14ac:dyDescent="0.25">
      <c r="A214" s="2">
        <v>43961</v>
      </c>
      <c r="B214" s="3" t="s">
        <v>17</v>
      </c>
      <c r="C214" s="3">
        <v>37489.5</v>
      </c>
      <c r="D214" s="3">
        <v>3549097.5</v>
      </c>
      <c r="I214" s="3">
        <f t="shared" si="3"/>
        <v>19</v>
      </c>
    </row>
    <row r="215" spans="1:9" x14ac:dyDescent="0.25">
      <c r="A215" s="2">
        <v>43959</v>
      </c>
      <c r="B215" s="3" t="s">
        <v>17</v>
      </c>
      <c r="C215" s="3">
        <v>34399.5</v>
      </c>
      <c r="D215" s="3">
        <v>3201358.5</v>
      </c>
      <c r="I215" s="3">
        <f t="shared" si="3"/>
        <v>19</v>
      </c>
    </row>
    <row r="216" spans="1:9" x14ac:dyDescent="0.25">
      <c r="A216" s="2">
        <v>43958</v>
      </c>
      <c r="B216" s="3" t="s">
        <v>17</v>
      </c>
      <c r="C216" s="3">
        <v>32851.5</v>
      </c>
      <c r="D216" s="3">
        <v>2934504</v>
      </c>
      <c r="I216" s="3">
        <f t="shared" si="3"/>
        <v>19</v>
      </c>
    </row>
    <row r="217" spans="1:9" x14ac:dyDescent="0.25">
      <c r="A217" s="2">
        <v>43975</v>
      </c>
      <c r="B217" s="3" t="s">
        <v>17</v>
      </c>
      <c r="C217" s="3">
        <v>38194.5</v>
      </c>
      <c r="D217" s="3">
        <v>3449302.5</v>
      </c>
      <c r="I217" s="3">
        <f t="shared" si="3"/>
        <v>21</v>
      </c>
    </row>
    <row r="218" spans="1:9" x14ac:dyDescent="0.25">
      <c r="A218" s="2">
        <v>43982</v>
      </c>
      <c r="B218" s="3" t="s">
        <v>17</v>
      </c>
      <c r="C218" s="3">
        <v>42423</v>
      </c>
      <c r="D218" s="3">
        <v>3994153.5</v>
      </c>
      <c r="I218" s="3">
        <f t="shared" si="3"/>
        <v>22</v>
      </c>
    </row>
    <row r="219" spans="1:9" x14ac:dyDescent="0.25">
      <c r="A219" s="2">
        <v>43981</v>
      </c>
      <c r="B219" s="3" t="s">
        <v>17</v>
      </c>
      <c r="C219" s="3">
        <v>48286.5</v>
      </c>
      <c r="D219" s="3">
        <v>4456441.5</v>
      </c>
      <c r="I219" s="3">
        <f t="shared" si="3"/>
        <v>22</v>
      </c>
    </row>
    <row r="220" spans="1:9" x14ac:dyDescent="0.25">
      <c r="A220" s="2">
        <v>43979</v>
      </c>
      <c r="B220" s="3" t="s">
        <v>17</v>
      </c>
      <c r="C220" s="3">
        <v>41442</v>
      </c>
      <c r="D220" s="3">
        <v>3893680.5</v>
      </c>
      <c r="I220" s="3">
        <f t="shared" si="3"/>
        <v>22</v>
      </c>
    </row>
    <row r="221" spans="1:9" x14ac:dyDescent="0.25">
      <c r="A221" s="2">
        <v>43967</v>
      </c>
      <c r="B221" s="3" t="s">
        <v>18</v>
      </c>
      <c r="C221" s="3">
        <v>18600</v>
      </c>
      <c r="D221" s="3">
        <v>1601425.5</v>
      </c>
      <c r="I221" s="3">
        <f t="shared" si="3"/>
        <v>20</v>
      </c>
    </row>
    <row r="222" spans="1:9" x14ac:dyDescent="0.25">
      <c r="A222" s="2">
        <v>43970</v>
      </c>
      <c r="B222" s="3" t="s">
        <v>18</v>
      </c>
      <c r="C222" s="3">
        <v>16638</v>
      </c>
      <c r="D222" s="3">
        <v>1364847</v>
      </c>
      <c r="I222" s="3">
        <f t="shared" si="3"/>
        <v>21</v>
      </c>
    </row>
    <row r="223" spans="1:9" x14ac:dyDescent="0.25">
      <c r="A223" s="2">
        <v>43968</v>
      </c>
      <c r="B223" s="3" t="s">
        <v>18</v>
      </c>
      <c r="C223" s="3">
        <v>15609</v>
      </c>
      <c r="D223" s="3">
        <v>1377577.5</v>
      </c>
      <c r="I223" s="3">
        <f t="shared" si="3"/>
        <v>20</v>
      </c>
    </row>
    <row r="224" spans="1:9" x14ac:dyDescent="0.25">
      <c r="A224" s="2">
        <v>43960</v>
      </c>
      <c r="B224" s="3" t="s">
        <v>18</v>
      </c>
      <c r="C224" s="3">
        <v>13948.5</v>
      </c>
      <c r="D224" s="3">
        <v>1222932</v>
      </c>
      <c r="I224" s="3">
        <f t="shared" si="3"/>
        <v>19</v>
      </c>
    </row>
    <row r="225" spans="1:9" x14ac:dyDescent="0.25">
      <c r="A225" s="2">
        <v>43955</v>
      </c>
      <c r="B225" s="3" t="s">
        <v>18</v>
      </c>
      <c r="C225" s="3">
        <v>12301.5</v>
      </c>
      <c r="D225" s="3">
        <v>1085211</v>
      </c>
      <c r="I225" s="3">
        <f t="shared" si="3"/>
        <v>19</v>
      </c>
    </row>
    <row r="226" spans="1:9" x14ac:dyDescent="0.25">
      <c r="A226" s="2">
        <v>43950</v>
      </c>
      <c r="B226" s="3" t="s">
        <v>18</v>
      </c>
      <c r="C226" s="3">
        <v>13014</v>
      </c>
      <c r="D226" s="3">
        <v>1115992.5</v>
      </c>
      <c r="I226" s="3">
        <f t="shared" si="3"/>
        <v>18</v>
      </c>
    </row>
    <row r="227" spans="1:9" x14ac:dyDescent="0.25">
      <c r="A227" s="2">
        <v>43953</v>
      </c>
      <c r="B227" s="3" t="s">
        <v>18</v>
      </c>
      <c r="C227" s="3">
        <v>12313.5</v>
      </c>
      <c r="D227" s="3">
        <v>1053220.5</v>
      </c>
      <c r="I227" s="3">
        <f t="shared" si="3"/>
        <v>18</v>
      </c>
    </row>
    <row r="228" spans="1:9" x14ac:dyDescent="0.25">
      <c r="A228" s="2">
        <v>43977</v>
      </c>
      <c r="B228" s="3" t="s">
        <v>18</v>
      </c>
      <c r="C228" s="3">
        <v>17391</v>
      </c>
      <c r="D228" s="3">
        <v>1489132.5</v>
      </c>
      <c r="I228" s="3">
        <f t="shared" si="3"/>
        <v>22</v>
      </c>
    </row>
    <row r="229" spans="1:9" x14ac:dyDescent="0.25">
      <c r="A229" s="2">
        <v>43952</v>
      </c>
      <c r="B229" s="3" t="s">
        <v>18</v>
      </c>
      <c r="C229" s="3">
        <v>17113.5</v>
      </c>
      <c r="D229" s="3">
        <v>1465842</v>
      </c>
      <c r="I229" s="3">
        <f t="shared" si="3"/>
        <v>18</v>
      </c>
    </row>
    <row r="230" spans="1:9" x14ac:dyDescent="0.25">
      <c r="A230" s="2">
        <v>43963</v>
      </c>
      <c r="B230" s="3" t="s">
        <v>18</v>
      </c>
      <c r="C230" s="3">
        <v>12802.5</v>
      </c>
      <c r="D230" s="3">
        <v>1123830</v>
      </c>
      <c r="I230" s="3">
        <f t="shared" si="3"/>
        <v>20</v>
      </c>
    </row>
    <row r="231" spans="1:9" x14ac:dyDescent="0.25">
      <c r="A231" s="2">
        <v>43972</v>
      </c>
      <c r="B231" s="3" t="s">
        <v>18</v>
      </c>
      <c r="C231" s="3">
        <v>16554</v>
      </c>
      <c r="D231" s="3">
        <v>1380751.5</v>
      </c>
      <c r="I231" s="3">
        <f t="shared" si="3"/>
        <v>21</v>
      </c>
    </row>
    <row r="232" spans="1:9" x14ac:dyDescent="0.25">
      <c r="A232" s="2">
        <v>43971</v>
      </c>
      <c r="B232" s="3" t="s">
        <v>18</v>
      </c>
      <c r="C232" s="3">
        <v>17329.5</v>
      </c>
      <c r="D232" s="3">
        <v>1430254.5</v>
      </c>
      <c r="I232" s="3">
        <f t="shared" si="3"/>
        <v>21</v>
      </c>
    </row>
    <row r="233" spans="1:9" x14ac:dyDescent="0.25">
      <c r="A233" s="2">
        <v>43956</v>
      </c>
      <c r="B233" s="3" t="s">
        <v>18</v>
      </c>
      <c r="C233" s="3">
        <v>15987</v>
      </c>
      <c r="D233" s="3">
        <v>1384179</v>
      </c>
      <c r="I233" s="3">
        <f t="shared" si="3"/>
        <v>19</v>
      </c>
    </row>
    <row r="234" spans="1:9" x14ac:dyDescent="0.25">
      <c r="A234" s="2">
        <v>43949</v>
      </c>
      <c r="B234" s="3" t="s">
        <v>18</v>
      </c>
      <c r="C234" s="3">
        <v>13303.5</v>
      </c>
      <c r="D234" s="3">
        <v>1102887</v>
      </c>
      <c r="I234" s="3">
        <f t="shared" si="3"/>
        <v>18</v>
      </c>
    </row>
    <row r="235" spans="1:9" x14ac:dyDescent="0.25">
      <c r="A235" s="2">
        <v>43964</v>
      </c>
      <c r="B235" s="3" t="s">
        <v>18</v>
      </c>
      <c r="C235" s="3">
        <v>14305.5</v>
      </c>
      <c r="D235" s="3">
        <v>1243507.5</v>
      </c>
      <c r="I235" s="3">
        <f t="shared" si="3"/>
        <v>20</v>
      </c>
    </row>
    <row r="236" spans="1:9" x14ac:dyDescent="0.25">
      <c r="A236" s="2">
        <v>43954</v>
      </c>
      <c r="B236" s="3" t="s">
        <v>18</v>
      </c>
      <c r="C236" s="3">
        <v>12924</v>
      </c>
      <c r="D236" s="3">
        <v>1120009.5</v>
      </c>
      <c r="I236" s="3">
        <f t="shared" si="3"/>
        <v>18</v>
      </c>
    </row>
    <row r="237" spans="1:9" x14ac:dyDescent="0.25">
      <c r="A237" s="2">
        <v>43957</v>
      </c>
      <c r="B237" s="3" t="s">
        <v>18</v>
      </c>
      <c r="C237" s="3">
        <v>14061</v>
      </c>
      <c r="D237" s="3">
        <v>1221057</v>
      </c>
      <c r="I237" s="3">
        <f t="shared" si="3"/>
        <v>19</v>
      </c>
    </row>
    <row r="238" spans="1:9" x14ac:dyDescent="0.25">
      <c r="A238" s="2">
        <v>43974</v>
      </c>
      <c r="B238" s="3" t="s">
        <v>18</v>
      </c>
      <c r="C238" s="3">
        <v>21958.5</v>
      </c>
      <c r="D238" s="3">
        <v>1854001.5</v>
      </c>
      <c r="I238" s="3">
        <f t="shared" si="3"/>
        <v>21</v>
      </c>
    </row>
    <row r="239" spans="1:9" x14ac:dyDescent="0.25">
      <c r="A239" s="2">
        <v>43976</v>
      </c>
      <c r="B239" s="3" t="s">
        <v>18</v>
      </c>
      <c r="C239" s="3">
        <v>17211</v>
      </c>
      <c r="D239" s="3">
        <v>1507867.5</v>
      </c>
      <c r="I239" s="3">
        <f t="shared" si="3"/>
        <v>22</v>
      </c>
    </row>
    <row r="240" spans="1:9" x14ac:dyDescent="0.25">
      <c r="A240" s="2">
        <v>43951</v>
      </c>
      <c r="B240" s="3" t="s">
        <v>18</v>
      </c>
      <c r="C240" s="3">
        <v>12753</v>
      </c>
      <c r="D240" s="3">
        <v>1103068.5</v>
      </c>
      <c r="I240" s="3">
        <f t="shared" si="3"/>
        <v>18</v>
      </c>
    </row>
    <row r="241" spans="1:9" x14ac:dyDescent="0.25">
      <c r="A241" s="2">
        <v>43961</v>
      </c>
      <c r="B241" s="3" t="s">
        <v>18</v>
      </c>
      <c r="C241" s="3">
        <v>16435.5</v>
      </c>
      <c r="D241" s="3">
        <v>1471537.5</v>
      </c>
      <c r="I241" s="3">
        <f t="shared" si="3"/>
        <v>19</v>
      </c>
    </row>
    <row r="242" spans="1:9" x14ac:dyDescent="0.25">
      <c r="A242" s="2">
        <v>43959</v>
      </c>
      <c r="B242" s="3" t="s">
        <v>18</v>
      </c>
      <c r="C242" s="3">
        <v>14494.5</v>
      </c>
      <c r="D242" s="3">
        <v>1269786</v>
      </c>
      <c r="I242" s="3">
        <f t="shared" si="3"/>
        <v>19</v>
      </c>
    </row>
    <row r="243" spans="1:9" x14ac:dyDescent="0.25">
      <c r="A243" s="2">
        <v>43958</v>
      </c>
      <c r="B243" s="3" t="s">
        <v>18</v>
      </c>
      <c r="C243" s="3">
        <v>12705</v>
      </c>
      <c r="D243" s="3">
        <v>1123894.5</v>
      </c>
      <c r="I243" s="3">
        <f t="shared" si="3"/>
        <v>19</v>
      </c>
    </row>
    <row r="244" spans="1:9" x14ac:dyDescent="0.25">
      <c r="A244" s="2">
        <v>43975</v>
      </c>
      <c r="B244" s="3" t="s">
        <v>18</v>
      </c>
      <c r="C244" s="3">
        <v>18075</v>
      </c>
      <c r="D244" s="3">
        <v>1548099</v>
      </c>
      <c r="I244" s="3">
        <f t="shared" si="3"/>
        <v>21</v>
      </c>
    </row>
    <row r="245" spans="1:9" x14ac:dyDescent="0.25">
      <c r="A245" s="2">
        <v>43967</v>
      </c>
      <c r="B245" s="3" t="s">
        <v>19</v>
      </c>
      <c r="C245" s="3">
        <v>13120.5</v>
      </c>
      <c r="D245" s="3">
        <v>1215033</v>
      </c>
      <c r="I245" s="3">
        <f t="shared" si="3"/>
        <v>20</v>
      </c>
    </row>
    <row r="246" spans="1:9" x14ac:dyDescent="0.25">
      <c r="A246" s="2">
        <v>43970</v>
      </c>
      <c r="B246" s="3" t="s">
        <v>19</v>
      </c>
      <c r="C246" s="3">
        <v>16237.5</v>
      </c>
      <c r="D246" s="3">
        <v>1403047.5</v>
      </c>
      <c r="I246" s="3">
        <f t="shared" si="3"/>
        <v>21</v>
      </c>
    </row>
    <row r="247" spans="1:9" x14ac:dyDescent="0.25">
      <c r="A247" s="2">
        <v>43968</v>
      </c>
      <c r="B247" s="3" t="s">
        <v>19</v>
      </c>
      <c r="C247" s="3">
        <v>11967</v>
      </c>
      <c r="D247" s="3">
        <v>1060489.5</v>
      </c>
      <c r="I247" s="3">
        <f t="shared" si="3"/>
        <v>20</v>
      </c>
    </row>
    <row r="248" spans="1:9" x14ac:dyDescent="0.25">
      <c r="A248" s="2">
        <v>43960</v>
      </c>
      <c r="B248" s="3" t="s">
        <v>19</v>
      </c>
      <c r="C248" s="3">
        <v>12037.5</v>
      </c>
      <c r="D248" s="3">
        <v>1081216.5</v>
      </c>
      <c r="I248" s="3">
        <f t="shared" si="3"/>
        <v>19</v>
      </c>
    </row>
    <row r="249" spans="1:9" x14ac:dyDescent="0.25">
      <c r="A249" s="2">
        <v>43955</v>
      </c>
      <c r="B249" s="3" t="s">
        <v>19</v>
      </c>
      <c r="C249" s="3">
        <v>7087.5</v>
      </c>
      <c r="D249" s="3">
        <v>610855.5</v>
      </c>
      <c r="I249" s="3">
        <f t="shared" si="3"/>
        <v>19</v>
      </c>
    </row>
    <row r="250" spans="1:9" x14ac:dyDescent="0.25">
      <c r="A250" s="2">
        <v>43950</v>
      </c>
      <c r="B250" s="3" t="s">
        <v>20</v>
      </c>
      <c r="C250" s="3">
        <v>25816.5</v>
      </c>
      <c r="D250" s="3">
        <v>2360914.5</v>
      </c>
      <c r="I250" s="3">
        <f t="shared" si="3"/>
        <v>18</v>
      </c>
    </row>
    <row r="251" spans="1:9" x14ac:dyDescent="0.25">
      <c r="A251" s="2">
        <v>43953</v>
      </c>
      <c r="B251" s="3" t="s">
        <v>19</v>
      </c>
      <c r="C251" s="3">
        <v>4624.5</v>
      </c>
      <c r="D251" s="3">
        <v>433243.5</v>
      </c>
      <c r="I251" s="3">
        <f t="shared" si="3"/>
        <v>18</v>
      </c>
    </row>
    <row r="252" spans="1:9" x14ac:dyDescent="0.25">
      <c r="A252" s="2">
        <v>43977</v>
      </c>
      <c r="B252" s="3" t="s">
        <v>19</v>
      </c>
      <c r="C252" s="3">
        <v>12259.5</v>
      </c>
      <c r="D252" s="3">
        <v>1152054</v>
      </c>
      <c r="I252" s="3">
        <f t="shared" si="3"/>
        <v>22</v>
      </c>
    </row>
    <row r="253" spans="1:9" x14ac:dyDescent="0.25">
      <c r="A253" s="2">
        <v>43952</v>
      </c>
      <c r="B253" s="3" t="s">
        <v>19</v>
      </c>
      <c r="C253" s="3">
        <v>5446.5</v>
      </c>
      <c r="D253" s="3">
        <v>505572</v>
      </c>
      <c r="I253" s="3">
        <f t="shared" si="3"/>
        <v>18</v>
      </c>
    </row>
    <row r="254" spans="1:9" x14ac:dyDescent="0.25">
      <c r="A254" s="2">
        <v>43963</v>
      </c>
      <c r="B254" s="3" t="s">
        <v>19</v>
      </c>
      <c r="C254" s="3">
        <v>11296.5</v>
      </c>
      <c r="D254" s="3">
        <v>989632.5</v>
      </c>
      <c r="I254" s="3">
        <f t="shared" si="3"/>
        <v>20</v>
      </c>
    </row>
    <row r="255" spans="1:9" x14ac:dyDescent="0.25">
      <c r="A255" s="2">
        <v>43972</v>
      </c>
      <c r="B255" s="3" t="s">
        <v>19</v>
      </c>
      <c r="C255" s="3">
        <v>12135</v>
      </c>
      <c r="D255" s="3">
        <v>1103623.5</v>
      </c>
      <c r="I255" s="3">
        <f t="shared" si="3"/>
        <v>21</v>
      </c>
    </row>
    <row r="256" spans="1:9" x14ac:dyDescent="0.25">
      <c r="A256" s="2">
        <v>43971</v>
      </c>
      <c r="B256" s="3" t="s">
        <v>19</v>
      </c>
      <c r="C256" s="3">
        <v>12630</v>
      </c>
      <c r="D256" s="3">
        <v>1104858</v>
      </c>
      <c r="I256" s="3">
        <f t="shared" si="3"/>
        <v>21</v>
      </c>
    </row>
    <row r="257" spans="1:9" x14ac:dyDescent="0.25">
      <c r="A257" s="2">
        <v>43956</v>
      </c>
      <c r="B257" s="3" t="s">
        <v>19</v>
      </c>
      <c r="C257" s="3">
        <v>8223</v>
      </c>
      <c r="D257" s="3">
        <v>694593</v>
      </c>
      <c r="I257" s="3">
        <f t="shared" si="3"/>
        <v>19</v>
      </c>
    </row>
    <row r="258" spans="1:9" x14ac:dyDescent="0.25">
      <c r="A258" s="2">
        <v>43949</v>
      </c>
      <c r="B258" s="3" t="s">
        <v>20</v>
      </c>
      <c r="C258" s="3">
        <v>25149</v>
      </c>
      <c r="D258" s="3">
        <v>2277072</v>
      </c>
      <c r="I258" s="3">
        <f t="shared" si="3"/>
        <v>18</v>
      </c>
    </row>
    <row r="259" spans="1:9" x14ac:dyDescent="0.25">
      <c r="A259" s="2">
        <v>43964</v>
      </c>
      <c r="B259" s="3" t="s">
        <v>19</v>
      </c>
      <c r="C259" s="3">
        <v>10401</v>
      </c>
      <c r="D259" s="3">
        <v>949912.5</v>
      </c>
      <c r="I259" s="3">
        <f t="shared" ref="I259:I322" si="4">WEEKNUM(A259,2)</f>
        <v>20</v>
      </c>
    </row>
    <row r="260" spans="1:9" x14ac:dyDescent="0.25">
      <c r="A260" s="2">
        <v>43982</v>
      </c>
      <c r="B260" s="3" t="s">
        <v>18</v>
      </c>
      <c r="C260" s="3">
        <v>17689.5</v>
      </c>
      <c r="D260" s="3">
        <v>1592119.5</v>
      </c>
      <c r="I260" s="3">
        <f t="shared" si="4"/>
        <v>22</v>
      </c>
    </row>
    <row r="261" spans="1:9" x14ac:dyDescent="0.25">
      <c r="A261" s="2">
        <v>43954</v>
      </c>
      <c r="B261" s="3" t="s">
        <v>19</v>
      </c>
      <c r="C261" s="3">
        <v>8127</v>
      </c>
      <c r="D261" s="3">
        <v>665302.5</v>
      </c>
      <c r="I261" s="3">
        <f t="shared" si="4"/>
        <v>18</v>
      </c>
    </row>
    <row r="262" spans="1:9" x14ac:dyDescent="0.25">
      <c r="A262" s="2">
        <v>43981</v>
      </c>
      <c r="B262" s="3" t="s">
        <v>18</v>
      </c>
      <c r="C262" s="3">
        <v>27250.5</v>
      </c>
      <c r="D262" s="3">
        <v>2457252</v>
      </c>
      <c r="I262" s="3">
        <f t="shared" si="4"/>
        <v>22</v>
      </c>
    </row>
    <row r="263" spans="1:9" x14ac:dyDescent="0.25">
      <c r="A263" s="2">
        <v>43957</v>
      </c>
      <c r="B263" s="3" t="s">
        <v>19</v>
      </c>
      <c r="C263" s="3">
        <v>8464.5</v>
      </c>
      <c r="D263" s="3">
        <v>739291.5</v>
      </c>
      <c r="I263" s="3">
        <f t="shared" si="4"/>
        <v>19</v>
      </c>
    </row>
    <row r="264" spans="1:9" x14ac:dyDescent="0.25">
      <c r="A264" s="2">
        <v>43974</v>
      </c>
      <c r="B264" s="3" t="s">
        <v>19</v>
      </c>
      <c r="C264" s="3">
        <v>14167.5</v>
      </c>
      <c r="D264" s="3">
        <v>1315075.5</v>
      </c>
      <c r="I264" s="3">
        <f t="shared" si="4"/>
        <v>21</v>
      </c>
    </row>
    <row r="265" spans="1:9" x14ac:dyDescent="0.25">
      <c r="A265" s="2">
        <v>43979</v>
      </c>
      <c r="B265" s="3" t="s">
        <v>18</v>
      </c>
      <c r="C265" s="3">
        <v>16500</v>
      </c>
      <c r="D265" s="3">
        <v>1487928</v>
      </c>
      <c r="I265" s="3">
        <f t="shared" si="4"/>
        <v>22</v>
      </c>
    </row>
    <row r="266" spans="1:9" x14ac:dyDescent="0.25">
      <c r="A266" s="2">
        <v>43976</v>
      </c>
      <c r="B266" s="3" t="s">
        <v>19</v>
      </c>
      <c r="C266" s="3">
        <v>13260</v>
      </c>
      <c r="D266" s="3">
        <v>1230687</v>
      </c>
      <c r="I266" s="3">
        <f t="shared" si="4"/>
        <v>22</v>
      </c>
    </row>
    <row r="267" spans="1:9" x14ac:dyDescent="0.25">
      <c r="A267" s="2">
        <v>43951</v>
      </c>
      <c r="B267" s="3" t="s">
        <v>19</v>
      </c>
      <c r="C267" s="3">
        <v>4285.5</v>
      </c>
      <c r="D267" s="3">
        <v>404691</v>
      </c>
      <c r="I267" s="3">
        <f t="shared" si="4"/>
        <v>18</v>
      </c>
    </row>
    <row r="268" spans="1:9" x14ac:dyDescent="0.25">
      <c r="A268" s="2">
        <v>43961</v>
      </c>
      <c r="B268" s="3" t="s">
        <v>19</v>
      </c>
      <c r="C268" s="3">
        <v>13440</v>
      </c>
      <c r="D268" s="3">
        <v>1198285.5</v>
      </c>
      <c r="I268" s="3">
        <f t="shared" si="4"/>
        <v>19</v>
      </c>
    </row>
    <row r="269" spans="1:9" x14ac:dyDescent="0.25">
      <c r="A269" s="2">
        <v>43959</v>
      </c>
      <c r="B269" s="3" t="s">
        <v>19</v>
      </c>
      <c r="C269" s="3">
        <v>9058.5</v>
      </c>
      <c r="D269" s="3">
        <v>798759</v>
      </c>
      <c r="I269" s="3">
        <f t="shared" si="4"/>
        <v>19</v>
      </c>
    </row>
    <row r="270" spans="1:9" x14ac:dyDescent="0.25">
      <c r="A270" s="2">
        <v>43958</v>
      </c>
      <c r="B270" s="3" t="s">
        <v>19</v>
      </c>
      <c r="C270" s="3">
        <v>8719.5</v>
      </c>
      <c r="D270" s="3">
        <v>769276.5</v>
      </c>
      <c r="I270" s="3">
        <f t="shared" si="4"/>
        <v>19</v>
      </c>
    </row>
    <row r="271" spans="1:9" x14ac:dyDescent="0.25">
      <c r="A271" s="2">
        <v>43975</v>
      </c>
      <c r="B271" s="3" t="s">
        <v>19</v>
      </c>
      <c r="C271" s="3">
        <v>12666</v>
      </c>
      <c r="D271" s="3">
        <v>1184865</v>
      </c>
      <c r="I271" s="3">
        <f t="shared" si="4"/>
        <v>21</v>
      </c>
    </row>
    <row r="272" spans="1:9" x14ac:dyDescent="0.25">
      <c r="A272" s="2">
        <v>43967</v>
      </c>
      <c r="B272" s="3" t="s">
        <v>20</v>
      </c>
      <c r="C272" s="3">
        <v>34563</v>
      </c>
      <c r="D272" s="3">
        <v>2922883.5</v>
      </c>
      <c r="I272" s="3">
        <f t="shared" si="4"/>
        <v>20</v>
      </c>
    </row>
    <row r="273" spans="1:9" x14ac:dyDescent="0.25">
      <c r="A273" s="2">
        <v>43970</v>
      </c>
      <c r="B273" s="3" t="s">
        <v>20</v>
      </c>
      <c r="C273" s="3">
        <v>28882.5</v>
      </c>
      <c r="D273" s="3">
        <v>2446530</v>
      </c>
      <c r="I273" s="3">
        <f t="shared" si="4"/>
        <v>21</v>
      </c>
    </row>
    <row r="274" spans="1:9" x14ac:dyDescent="0.25">
      <c r="A274" s="2">
        <v>43968</v>
      </c>
      <c r="B274" s="3" t="s">
        <v>20</v>
      </c>
      <c r="C274" s="3">
        <v>28275</v>
      </c>
      <c r="D274" s="3">
        <v>2435632.5</v>
      </c>
      <c r="I274" s="3">
        <f t="shared" si="4"/>
        <v>20</v>
      </c>
    </row>
    <row r="275" spans="1:9" x14ac:dyDescent="0.25">
      <c r="A275" s="2">
        <v>43960</v>
      </c>
      <c r="B275" s="3" t="s">
        <v>20</v>
      </c>
      <c r="C275" s="3">
        <v>26271</v>
      </c>
      <c r="D275" s="3">
        <v>2384937</v>
      </c>
      <c r="I275" s="3">
        <f t="shared" si="4"/>
        <v>19</v>
      </c>
    </row>
    <row r="276" spans="1:9" x14ac:dyDescent="0.25">
      <c r="A276" s="2">
        <v>43955</v>
      </c>
      <c r="B276" s="3" t="s">
        <v>20</v>
      </c>
      <c r="C276" s="3">
        <v>23587.5</v>
      </c>
      <c r="D276" s="3">
        <v>2155668</v>
      </c>
      <c r="I276" s="3">
        <f t="shared" si="4"/>
        <v>19</v>
      </c>
    </row>
    <row r="277" spans="1:9" x14ac:dyDescent="0.25">
      <c r="A277" s="2">
        <v>43953</v>
      </c>
      <c r="B277" s="3" t="s">
        <v>20</v>
      </c>
      <c r="C277" s="3">
        <v>18427.5</v>
      </c>
      <c r="D277" s="3">
        <v>1682851.5</v>
      </c>
      <c r="I277" s="3">
        <f t="shared" si="4"/>
        <v>18</v>
      </c>
    </row>
    <row r="278" spans="1:9" x14ac:dyDescent="0.25">
      <c r="A278" s="2">
        <v>43977</v>
      </c>
      <c r="B278" s="3" t="s">
        <v>20</v>
      </c>
      <c r="C278" s="3">
        <v>27156</v>
      </c>
      <c r="D278" s="3">
        <v>2410803</v>
      </c>
      <c r="I278" s="3">
        <f t="shared" si="4"/>
        <v>22</v>
      </c>
    </row>
    <row r="279" spans="1:9" x14ac:dyDescent="0.25">
      <c r="A279" s="2">
        <v>43952</v>
      </c>
      <c r="B279" s="3" t="s">
        <v>20</v>
      </c>
      <c r="C279" s="3">
        <v>35190</v>
      </c>
      <c r="D279" s="3">
        <v>3168510</v>
      </c>
      <c r="I279" s="3">
        <f t="shared" si="4"/>
        <v>18</v>
      </c>
    </row>
    <row r="280" spans="1:9" x14ac:dyDescent="0.25">
      <c r="A280" s="2">
        <v>43963</v>
      </c>
      <c r="B280" s="3" t="s">
        <v>20</v>
      </c>
      <c r="C280" s="3">
        <v>25483.5</v>
      </c>
      <c r="D280" s="3">
        <v>2243160</v>
      </c>
      <c r="I280" s="3">
        <f t="shared" si="4"/>
        <v>20</v>
      </c>
    </row>
    <row r="281" spans="1:9" x14ac:dyDescent="0.25">
      <c r="A281" s="2">
        <v>43972</v>
      </c>
      <c r="B281" s="3" t="s">
        <v>20</v>
      </c>
      <c r="C281" s="3">
        <v>25362</v>
      </c>
      <c r="D281" s="3">
        <v>2198935.5</v>
      </c>
      <c r="I281" s="3">
        <f t="shared" si="4"/>
        <v>21</v>
      </c>
    </row>
    <row r="282" spans="1:9" x14ac:dyDescent="0.25">
      <c r="A282" s="2">
        <v>43971</v>
      </c>
      <c r="B282" s="3" t="s">
        <v>20</v>
      </c>
      <c r="C282" s="3">
        <v>28849.5</v>
      </c>
      <c r="D282" s="3">
        <v>2520759</v>
      </c>
      <c r="I282" s="3">
        <f t="shared" si="4"/>
        <v>21</v>
      </c>
    </row>
    <row r="283" spans="1:9" x14ac:dyDescent="0.25">
      <c r="A283" s="2">
        <v>43956</v>
      </c>
      <c r="B283" s="3" t="s">
        <v>20</v>
      </c>
      <c r="C283" s="3">
        <v>26367</v>
      </c>
      <c r="D283" s="3">
        <v>2380333.5</v>
      </c>
      <c r="I283" s="3">
        <f t="shared" si="4"/>
        <v>19</v>
      </c>
    </row>
    <row r="284" spans="1:9" x14ac:dyDescent="0.25">
      <c r="A284" s="2">
        <v>43964</v>
      </c>
      <c r="B284" s="3" t="s">
        <v>20</v>
      </c>
      <c r="C284" s="3">
        <v>25539</v>
      </c>
      <c r="D284" s="3">
        <v>2263651.5</v>
      </c>
      <c r="I284" s="3">
        <f t="shared" si="4"/>
        <v>20</v>
      </c>
    </row>
    <row r="285" spans="1:9" x14ac:dyDescent="0.25">
      <c r="A285" s="2">
        <v>43982</v>
      </c>
      <c r="B285" s="3" t="s">
        <v>19</v>
      </c>
      <c r="C285" s="3">
        <v>14808</v>
      </c>
      <c r="D285" s="3">
        <v>1336789.5</v>
      </c>
      <c r="I285" s="3">
        <f t="shared" si="4"/>
        <v>22</v>
      </c>
    </row>
    <row r="286" spans="1:9" x14ac:dyDescent="0.25">
      <c r="A286" s="2">
        <v>43954</v>
      </c>
      <c r="B286" s="3" t="s">
        <v>20</v>
      </c>
      <c r="C286" s="3">
        <v>21343.5</v>
      </c>
      <c r="D286" s="3">
        <v>1906557</v>
      </c>
      <c r="I286" s="3">
        <f t="shared" si="4"/>
        <v>18</v>
      </c>
    </row>
    <row r="287" spans="1:9" x14ac:dyDescent="0.25">
      <c r="A287" s="2">
        <v>43981</v>
      </c>
      <c r="B287" s="3" t="s">
        <v>19</v>
      </c>
      <c r="C287" s="3">
        <v>17946</v>
      </c>
      <c r="D287" s="3">
        <v>1609090.5</v>
      </c>
      <c r="I287" s="3">
        <f t="shared" si="4"/>
        <v>22</v>
      </c>
    </row>
    <row r="288" spans="1:9" x14ac:dyDescent="0.25">
      <c r="A288" s="2">
        <v>43957</v>
      </c>
      <c r="B288" s="3" t="s">
        <v>20</v>
      </c>
      <c r="C288" s="3">
        <v>24337.5</v>
      </c>
      <c r="D288" s="3">
        <v>2159350.5</v>
      </c>
      <c r="I288" s="3">
        <f t="shared" si="4"/>
        <v>19</v>
      </c>
    </row>
    <row r="289" spans="1:9" x14ac:dyDescent="0.25">
      <c r="A289" s="2">
        <v>43974</v>
      </c>
      <c r="B289" s="3" t="s">
        <v>20</v>
      </c>
      <c r="C289" s="3">
        <v>36997.5</v>
      </c>
      <c r="D289" s="3">
        <v>3089140.5</v>
      </c>
      <c r="I289" s="3">
        <f t="shared" si="4"/>
        <v>21</v>
      </c>
    </row>
    <row r="290" spans="1:9" x14ac:dyDescent="0.25">
      <c r="A290" s="2">
        <v>43979</v>
      </c>
      <c r="B290" s="3" t="s">
        <v>19</v>
      </c>
      <c r="C290" s="3">
        <v>13864.5</v>
      </c>
      <c r="D290" s="3">
        <v>1239747</v>
      </c>
      <c r="I290" s="3">
        <f t="shared" si="4"/>
        <v>22</v>
      </c>
    </row>
    <row r="291" spans="1:9" x14ac:dyDescent="0.25">
      <c r="A291" s="2">
        <v>43976</v>
      </c>
      <c r="B291" s="3" t="s">
        <v>20</v>
      </c>
      <c r="C291" s="3">
        <v>28494</v>
      </c>
      <c r="D291" s="3">
        <v>2512803</v>
      </c>
      <c r="I291" s="3">
        <f t="shared" si="4"/>
        <v>22</v>
      </c>
    </row>
    <row r="292" spans="1:9" x14ac:dyDescent="0.25">
      <c r="A292" s="2">
        <v>43951</v>
      </c>
      <c r="B292" s="3" t="s">
        <v>20</v>
      </c>
      <c r="C292" s="3">
        <v>27883.5</v>
      </c>
      <c r="D292" s="3">
        <v>2560080</v>
      </c>
      <c r="I292" s="3">
        <f t="shared" si="4"/>
        <v>18</v>
      </c>
    </row>
    <row r="293" spans="1:9" x14ac:dyDescent="0.25">
      <c r="A293" s="2">
        <v>43961</v>
      </c>
      <c r="B293" s="3" t="s">
        <v>20</v>
      </c>
      <c r="C293" s="3">
        <v>31224</v>
      </c>
      <c r="D293" s="3">
        <v>2767270.5</v>
      </c>
      <c r="I293" s="3">
        <f t="shared" si="4"/>
        <v>19</v>
      </c>
    </row>
    <row r="294" spans="1:9" x14ac:dyDescent="0.25">
      <c r="A294" s="2">
        <v>43959</v>
      </c>
      <c r="B294" s="3" t="s">
        <v>20</v>
      </c>
      <c r="C294" s="3">
        <v>25020</v>
      </c>
      <c r="D294" s="3">
        <v>2235960</v>
      </c>
      <c r="I294" s="3">
        <f t="shared" si="4"/>
        <v>19</v>
      </c>
    </row>
    <row r="295" spans="1:9" x14ac:dyDescent="0.25">
      <c r="A295" s="2">
        <v>43958</v>
      </c>
      <c r="B295" s="3" t="s">
        <v>20</v>
      </c>
      <c r="C295" s="3">
        <v>26184</v>
      </c>
      <c r="D295" s="3">
        <v>2308336.5</v>
      </c>
      <c r="I295" s="3">
        <f t="shared" si="4"/>
        <v>19</v>
      </c>
    </row>
    <row r="296" spans="1:9" x14ac:dyDescent="0.25">
      <c r="A296" s="2">
        <v>43975</v>
      </c>
      <c r="B296" s="3" t="s">
        <v>20</v>
      </c>
      <c r="C296" s="3">
        <v>29824.5</v>
      </c>
      <c r="D296" s="3">
        <v>2526909</v>
      </c>
      <c r="I296" s="3">
        <f t="shared" si="4"/>
        <v>21</v>
      </c>
    </row>
    <row r="297" spans="1:9" x14ac:dyDescent="0.25">
      <c r="A297" s="2">
        <v>43950</v>
      </c>
      <c r="B297" s="3" t="s">
        <v>21</v>
      </c>
      <c r="C297" s="3">
        <v>208351.5</v>
      </c>
      <c r="D297" s="3">
        <v>21615333</v>
      </c>
      <c r="I297" s="3">
        <f t="shared" si="4"/>
        <v>18</v>
      </c>
    </row>
    <row r="298" spans="1:9" x14ac:dyDescent="0.25">
      <c r="A298" s="2">
        <v>43949</v>
      </c>
      <c r="B298" s="3" t="s">
        <v>21</v>
      </c>
      <c r="C298" s="3">
        <v>204637.5</v>
      </c>
      <c r="D298" s="3">
        <v>21114898.5</v>
      </c>
      <c r="I298" s="3">
        <f t="shared" si="4"/>
        <v>18</v>
      </c>
    </row>
    <row r="299" spans="1:9" x14ac:dyDescent="0.25">
      <c r="A299" s="2">
        <v>43982</v>
      </c>
      <c r="B299" s="3" t="s">
        <v>20</v>
      </c>
      <c r="C299" s="3">
        <v>31372.5</v>
      </c>
      <c r="D299" s="3">
        <v>2794324.5</v>
      </c>
      <c r="I299" s="3">
        <f t="shared" si="4"/>
        <v>22</v>
      </c>
    </row>
    <row r="300" spans="1:9" x14ac:dyDescent="0.25">
      <c r="A300" s="2">
        <v>43981</v>
      </c>
      <c r="B300" s="3" t="s">
        <v>20</v>
      </c>
      <c r="C300" s="3">
        <v>34681.5</v>
      </c>
      <c r="D300" s="3">
        <v>3005334</v>
      </c>
      <c r="I300" s="3">
        <f t="shared" si="4"/>
        <v>22</v>
      </c>
    </row>
    <row r="301" spans="1:9" x14ac:dyDescent="0.25">
      <c r="A301" s="2">
        <v>43979</v>
      </c>
      <c r="B301" s="3" t="s">
        <v>20</v>
      </c>
      <c r="C301" s="3">
        <v>28197</v>
      </c>
      <c r="D301" s="3">
        <v>2559211.5</v>
      </c>
      <c r="I301" s="3">
        <f t="shared" si="4"/>
        <v>22</v>
      </c>
    </row>
    <row r="302" spans="1:9" x14ac:dyDescent="0.25">
      <c r="A302" s="2">
        <v>43967</v>
      </c>
      <c r="B302" s="3" t="s">
        <v>21</v>
      </c>
      <c r="C302" s="3">
        <v>236551.5</v>
      </c>
      <c r="D302" s="3">
        <v>23689383</v>
      </c>
      <c r="I302" s="3">
        <f t="shared" si="4"/>
        <v>20</v>
      </c>
    </row>
    <row r="303" spans="1:9" x14ac:dyDescent="0.25">
      <c r="A303" s="2">
        <v>43970</v>
      </c>
      <c r="B303" s="3" t="s">
        <v>21</v>
      </c>
      <c r="C303" s="3">
        <v>223597.5</v>
      </c>
      <c r="D303" s="3">
        <v>21945858</v>
      </c>
      <c r="I303" s="3">
        <f t="shared" si="4"/>
        <v>21</v>
      </c>
    </row>
    <row r="304" spans="1:9" x14ac:dyDescent="0.25">
      <c r="A304" s="2">
        <v>43968</v>
      </c>
      <c r="B304" s="3" t="s">
        <v>21</v>
      </c>
      <c r="C304" s="3">
        <v>193363.5</v>
      </c>
      <c r="D304" s="3">
        <v>19546386</v>
      </c>
      <c r="I304" s="3">
        <f t="shared" si="4"/>
        <v>20</v>
      </c>
    </row>
    <row r="305" spans="1:9" x14ac:dyDescent="0.25">
      <c r="A305" s="2">
        <v>43960</v>
      </c>
      <c r="B305" s="3" t="s">
        <v>21</v>
      </c>
      <c r="C305" s="3">
        <v>188319</v>
      </c>
      <c r="D305" s="3">
        <v>19218631.5</v>
      </c>
      <c r="I305" s="3">
        <f t="shared" si="4"/>
        <v>19</v>
      </c>
    </row>
    <row r="306" spans="1:9" x14ac:dyDescent="0.25">
      <c r="A306" s="2">
        <v>43955</v>
      </c>
      <c r="B306" s="3" t="s">
        <v>21</v>
      </c>
      <c r="C306" s="3">
        <v>237544.5</v>
      </c>
      <c r="D306" s="3">
        <v>24292218</v>
      </c>
      <c r="I306" s="3">
        <f t="shared" si="4"/>
        <v>19</v>
      </c>
    </row>
    <row r="307" spans="1:9" x14ac:dyDescent="0.25">
      <c r="A307" s="2">
        <v>43950</v>
      </c>
      <c r="B307" s="3" t="s">
        <v>22</v>
      </c>
      <c r="C307" s="3">
        <v>203209.5</v>
      </c>
      <c r="D307" s="3">
        <v>20871391.5</v>
      </c>
      <c r="I307" s="3">
        <f t="shared" si="4"/>
        <v>18</v>
      </c>
    </row>
    <row r="308" spans="1:9" x14ac:dyDescent="0.25">
      <c r="A308" s="2">
        <v>43953</v>
      </c>
      <c r="B308" s="3" t="s">
        <v>21</v>
      </c>
      <c r="C308" s="3">
        <v>185979</v>
      </c>
      <c r="D308" s="3">
        <v>19625364</v>
      </c>
      <c r="I308" s="3">
        <f t="shared" si="4"/>
        <v>18</v>
      </c>
    </row>
    <row r="309" spans="1:9" x14ac:dyDescent="0.25">
      <c r="A309" s="2">
        <v>43977</v>
      </c>
      <c r="B309" s="3" t="s">
        <v>21</v>
      </c>
      <c r="C309" s="3">
        <v>244905</v>
      </c>
      <c r="D309" s="3">
        <v>25163431.5</v>
      </c>
      <c r="I309" s="3">
        <f t="shared" si="4"/>
        <v>22</v>
      </c>
    </row>
    <row r="310" spans="1:9" x14ac:dyDescent="0.25">
      <c r="A310" s="2">
        <v>43952</v>
      </c>
      <c r="B310" s="3" t="s">
        <v>21</v>
      </c>
      <c r="C310" s="3">
        <v>239409</v>
      </c>
      <c r="D310" s="3">
        <v>25413351</v>
      </c>
      <c r="I310" s="3">
        <f t="shared" si="4"/>
        <v>18</v>
      </c>
    </row>
    <row r="311" spans="1:9" x14ac:dyDescent="0.25">
      <c r="A311" s="2">
        <v>43963</v>
      </c>
      <c r="B311" s="3" t="s">
        <v>21</v>
      </c>
      <c r="C311" s="3">
        <v>192886.5</v>
      </c>
      <c r="D311" s="3">
        <v>19205179.5</v>
      </c>
      <c r="I311" s="3">
        <f t="shared" si="4"/>
        <v>20</v>
      </c>
    </row>
    <row r="312" spans="1:9" x14ac:dyDescent="0.25">
      <c r="A312" s="2">
        <v>43972</v>
      </c>
      <c r="B312" s="3" t="s">
        <v>21</v>
      </c>
      <c r="C312" s="3">
        <v>224233.5</v>
      </c>
      <c r="D312" s="3">
        <v>22253295</v>
      </c>
      <c r="I312" s="3">
        <f t="shared" si="4"/>
        <v>21</v>
      </c>
    </row>
    <row r="313" spans="1:9" x14ac:dyDescent="0.25">
      <c r="A313" s="2">
        <v>43971</v>
      </c>
      <c r="B313" s="3" t="s">
        <v>21</v>
      </c>
      <c r="C313" s="3">
        <v>219622.5</v>
      </c>
      <c r="D313" s="3">
        <v>21959286</v>
      </c>
      <c r="I313" s="3">
        <f t="shared" si="4"/>
        <v>21</v>
      </c>
    </row>
    <row r="314" spans="1:9" x14ac:dyDescent="0.25">
      <c r="A314" s="2">
        <v>43956</v>
      </c>
      <c r="B314" s="3" t="s">
        <v>21</v>
      </c>
      <c r="C314" s="3">
        <v>213582</v>
      </c>
      <c r="D314" s="3">
        <v>21919435.5</v>
      </c>
      <c r="I314" s="3">
        <f t="shared" si="4"/>
        <v>19</v>
      </c>
    </row>
    <row r="315" spans="1:9" x14ac:dyDescent="0.25">
      <c r="A315" s="2">
        <v>43949</v>
      </c>
      <c r="B315" s="3" t="s">
        <v>22</v>
      </c>
      <c r="C315" s="3">
        <v>195705</v>
      </c>
      <c r="D315" s="3">
        <v>20003263.5</v>
      </c>
      <c r="I315" s="3">
        <f t="shared" si="4"/>
        <v>18</v>
      </c>
    </row>
    <row r="316" spans="1:9" x14ac:dyDescent="0.25">
      <c r="A316" s="2">
        <v>43964</v>
      </c>
      <c r="B316" s="3" t="s">
        <v>21</v>
      </c>
      <c r="C316" s="3">
        <v>193722</v>
      </c>
      <c r="D316" s="3">
        <v>19437273</v>
      </c>
      <c r="I316" s="3">
        <f t="shared" si="4"/>
        <v>20</v>
      </c>
    </row>
    <row r="317" spans="1:9" x14ac:dyDescent="0.25">
      <c r="A317" s="2">
        <v>43954</v>
      </c>
      <c r="B317" s="3" t="s">
        <v>21</v>
      </c>
      <c r="C317" s="3">
        <v>257215.5</v>
      </c>
      <c r="D317" s="3">
        <v>26492278.5</v>
      </c>
      <c r="I317" s="3">
        <f t="shared" si="4"/>
        <v>18</v>
      </c>
    </row>
    <row r="318" spans="1:9" x14ac:dyDescent="0.25">
      <c r="A318" s="2">
        <v>43957</v>
      </c>
      <c r="B318" s="3" t="s">
        <v>21</v>
      </c>
      <c r="C318" s="3">
        <v>224779.5</v>
      </c>
      <c r="D318" s="3">
        <v>23032992</v>
      </c>
      <c r="I318" s="3">
        <f t="shared" si="4"/>
        <v>19</v>
      </c>
    </row>
    <row r="319" spans="1:9" x14ac:dyDescent="0.25">
      <c r="A319" s="2">
        <v>43974</v>
      </c>
      <c r="B319" s="3" t="s">
        <v>21</v>
      </c>
      <c r="C319" s="3">
        <v>292018.5</v>
      </c>
      <c r="D319" s="3">
        <v>28590910.5</v>
      </c>
      <c r="I319" s="3">
        <f t="shared" si="4"/>
        <v>21</v>
      </c>
    </row>
    <row r="320" spans="1:9" x14ac:dyDescent="0.25">
      <c r="A320" s="2">
        <v>43976</v>
      </c>
      <c r="B320" s="3" t="s">
        <v>21</v>
      </c>
      <c r="C320" s="3">
        <v>198751.5</v>
      </c>
      <c r="D320" s="3">
        <v>20582743.5</v>
      </c>
      <c r="I320" s="3">
        <f t="shared" si="4"/>
        <v>22</v>
      </c>
    </row>
    <row r="321" spans="1:9" x14ac:dyDescent="0.25">
      <c r="A321" s="2">
        <v>43951</v>
      </c>
      <c r="B321" s="3" t="s">
        <v>21</v>
      </c>
      <c r="C321" s="3">
        <v>214386</v>
      </c>
      <c r="D321" s="3">
        <v>22530000</v>
      </c>
      <c r="I321" s="3">
        <f t="shared" si="4"/>
        <v>18</v>
      </c>
    </row>
    <row r="322" spans="1:9" x14ac:dyDescent="0.25">
      <c r="A322" s="2">
        <v>43961</v>
      </c>
      <c r="B322" s="3" t="s">
        <v>21</v>
      </c>
      <c r="C322" s="3">
        <v>243825</v>
      </c>
      <c r="D322" s="3">
        <v>24890404.5</v>
      </c>
      <c r="I322" s="3">
        <f t="shared" si="4"/>
        <v>19</v>
      </c>
    </row>
    <row r="323" spans="1:9" x14ac:dyDescent="0.25">
      <c r="A323" s="2">
        <v>43959</v>
      </c>
      <c r="B323" s="3" t="s">
        <v>21</v>
      </c>
      <c r="C323" s="3">
        <v>232701</v>
      </c>
      <c r="D323" s="3">
        <v>23881948.5</v>
      </c>
      <c r="I323" s="3">
        <f t="shared" ref="I323:I386" si="5">WEEKNUM(A323,2)</f>
        <v>19</v>
      </c>
    </row>
    <row r="324" spans="1:9" x14ac:dyDescent="0.25">
      <c r="A324" s="2">
        <v>43958</v>
      </c>
      <c r="B324" s="3" t="s">
        <v>21</v>
      </c>
      <c r="C324" s="3">
        <v>219411</v>
      </c>
      <c r="D324" s="3">
        <v>22460130</v>
      </c>
      <c r="I324" s="3">
        <f t="shared" si="5"/>
        <v>19</v>
      </c>
    </row>
    <row r="325" spans="1:9" x14ac:dyDescent="0.25">
      <c r="A325" s="2">
        <v>43975</v>
      </c>
      <c r="B325" s="3" t="s">
        <v>21</v>
      </c>
      <c r="C325" s="3">
        <v>200029.5</v>
      </c>
      <c r="D325" s="3">
        <v>19959801</v>
      </c>
      <c r="I325" s="3">
        <f t="shared" si="5"/>
        <v>21</v>
      </c>
    </row>
    <row r="326" spans="1:9" x14ac:dyDescent="0.25">
      <c r="A326" s="2">
        <v>43967</v>
      </c>
      <c r="B326" s="3" t="s">
        <v>22</v>
      </c>
      <c r="C326" s="3">
        <v>225480</v>
      </c>
      <c r="D326" s="3">
        <v>22355338.5</v>
      </c>
      <c r="I326" s="3">
        <f t="shared" si="5"/>
        <v>20</v>
      </c>
    </row>
    <row r="327" spans="1:9" x14ac:dyDescent="0.25">
      <c r="A327" s="2">
        <v>43970</v>
      </c>
      <c r="B327" s="3" t="s">
        <v>22</v>
      </c>
      <c r="C327" s="3">
        <v>211453.5</v>
      </c>
      <c r="D327" s="3">
        <v>20590072.5</v>
      </c>
      <c r="I327" s="3">
        <f t="shared" si="5"/>
        <v>21</v>
      </c>
    </row>
    <row r="328" spans="1:9" x14ac:dyDescent="0.25">
      <c r="A328" s="2">
        <v>43968</v>
      </c>
      <c r="B328" s="3" t="s">
        <v>22</v>
      </c>
      <c r="C328" s="3">
        <v>184801.5</v>
      </c>
      <c r="D328" s="3">
        <v>18449091</v>
      </c>
      <c r="I328" s="3">
        <f t="shared" si="5"/>
        <v>20</v>
      </c>
    </row>
    <row r="329" spans="1:9" x14ac:dyDescent="0.25">
      <c r="A329" s="2">
        <v>43960</v>
      </c>
      <c r="B329" s="3" t="s">
        <v>22</v>
      </c>
      <c r="C329" s="3">
        <v>177976.5</v>
      </c>
      <c r="D329" s="3">
        <v>18085798.5</v>
      </c>
      <c r="I329" s="3">
        <f t="shared" si="5"/>
        <v>19</v>
      </c>
    </row>
    <row r="330" spans="1:9" x14ac:dyDescent="0.25">
      <c r="A330" s="2">
        <v>43955</v>
      </c>
      <c r="B330" s="3" t="s">
        <v>22</v>
      </c>
      <c r="C330" s="3">
        <v>223617</v>
      </c>
      <c r="D330" s="3">
        <v>22796827.5</v>
      </c>
      <c r="I330" s="3">
        <f t="shared" si="5"/>
        <v>19</v>
      </c>
    </row>
    <row r="331" spans="1:9" x14ac:dyDescent="0.25">
      <c r="A331" s="2">
        <v>43953</v>
      </c>
      <c r="B331" s="3" t="s">
        <v>22</v>
      </c>
      <c r="C331" s="3">
        <v>176397</v>
      </c>
      <c r="D331" s="3">
        <v>18625921.5</v>
      </c>
      <c r="I331" s="3">
        <f t="shared" si="5"/>
        <v>18</v>
      </c>
    </row>
    <row r="332" spans="1:9" x14ac:dyDescent="0.25">
      <c r="A332" s="2">
        <v>43977</v>
      </c>
      <c r="B332" s="3" t="s">
        <v>22</v>
      </c>
      <c r="C332" s="3">
        <v>232369.5</v>
      </c>
      <c r="D332" s="3">
        <v>23856345</v>
      </c>
      <c r="I332" s="3">
        <f t="shared" si="5"/>
        <v>22</v>
      </c>
    </row>
    <row r="333" spans="1:9" x14ac:dyDescent="0.25">
      <c r="A333" s="2">
        <v>43952</v>
      </c>
      <c r="B333" s="3" t="s">
        <v>22</v>
      </c>
      <c r="C333" s="3">
        <v>226540.5</v>
      </c>
      <c r="D333" s="3">
        <v>23953536</v>
      </c>
      <c r="I333" s="3">
        <f t="shared" si="5"/>
        <v>18</v>
      </c>
    </row>
    <row r="334" spans="1:9" x14ac:dyDescent="0.25">
      <c r="A334" s="2">
        <v>43963</v>
      </c>
      <c r="B334" s="3" t="s">
        <v>22</v>
      </c>
      <c r="C334" s="3">
        <v>189679.5</v>
      </c>
      <c r="D334" s="3">
        <v>18718036.5</v>
      </c>
      <c r="I334" s="3">
        <f t="shared" si="5"/>
        <v>20</v>
      </c>
    </row>
    <row r="335" spans="1:9" x14ac:dyDescent="0.25">
      <c r="A335" s="2">
        <v>43972</v>
      </c>
      <c r="B335" s="3" t="s">
        <v>22</v>
      </c>
      <c r="C335" s="3">
        <v>213640.5</v>
      </c>
      <c r="D335" s="3">
        <v>21042673.5</v>
      </c>
      <c r="I335" s="3">
        <f t="shared" si="5"/>
        <v>21</v>
      </c>
    </row>
    <row r="336" spans="1:9" x14ac:dyDescent="0.25">
      <c r="A336" s="2">
        <v>43971</v>
      </c>
      <c r="B336" s="3" t="s">
        <v>22</v>
      </c>
      <c r="C336" s="3">
        <v>214885.5</v>
      </c>
      <c r="D336" s="3">
        <v>21411349.5</v>
      </c>
      <c r="I336" s="3">
        <f t="shared" si="5"/>
        <v>21</v>
      </c>
    </row>
    <row r="337" spans="1:9" x14ac:dyDescent="0.25">
      <c r="A337" s="2">
        <v>43956</v>
      </c>
      <c r="B337" s="3" t="s">
        <v>22</v>
      </c>
      <c r="C337" s="3">
        <v>203832</v>
      </c>
      <c r="D337" s="3">
        <v>20880142.5</v>
      </c>
      <c r="I337" s="3">
        <f t="shared" si="5"/>
        <v>19</v>
      </c>
    </row>
    <row r="338" spans="1:9" x14ac:dyDescent="0.25">
      <c r="A338" s="2">
        <v>43964</v>
      </c>
      <c r="B338" s="3" t="s">
        <v>22</v>
      </c>
      <c r="C338" s="3">
        <v>188662.5</v>
      </c>
      <c r="D338" s="3">
        <v>18784000.5</v>
      </c>
      <c r="I338" s="3">
        <f t="shared" si="5"/>
        <v>20</v>
      </c>
    </row>
    <row r="339" spans="1:9" x14ac:dyDescent="0.25">
      <c r="A339" s="2">
        <v>43982</v>
      </c>
      <c r="B339" s="3" t="s">
        <v>21</v>
      </c>
      <c r="C339" s="3">
        <v>215277</v>
      </c>
      <c r="D339" s="3">
        <v>21585316.5</v>
      </c>
      <c r="I339" s="3">
        <f t="shared" si="5"/>
        <v>22</v>
      </c>
    </row>
    <row r="340" spans="1:9" x14ac:dyDescent="0.25">
      <c r="A340" s="2">
        <v>43954</v>
      </c>
      <c r="B340" s="3" t="s">
        <v>22</v>
      </c>
      <c r="C340" s="3">
        <v>248148</v>
      </c>
      <c r="D340" s="3">
        <v>25519072.5</v>
      </c>
      <c r="I340" s="3">
        <f t="shared" si="5"/>
        <v>18</v>
      </c>
    </row>
    <row r="341" spans="1:9" x14ac:dyDescent="0.25">
      <c r="A341" s="2">
        <v>43981</v>
      </c>
      <c r="B341" s="3" t="s">
        <v>21</v>
      </c>
      <c r="C341" s="3">
        <v>246414</v>
      </c>
      <c r="D341" s="3">
        <v>24527245.5</v>
      </c>
      <c r="I341" s="3">
        <f t="shared" si="5"/>
        <v>22</v>
      </c>
    </row>
    <row r="342" spans="1:9" x14ac:dyDescent="0.25">
      <c r="A342" s="2">
        <v>43957</v>
      </c>
      <c r="B342" s="3" t="s">
        <v>22</v>
      </c>
      <c r="C342" s="3">
        <v>216498</v>
      </c>
      <c r="D342" s="3">
        <v>22126444.5</v>
      </c>
      <c r="I342" s="3">
        <f t="shared" si="5"/>
        <v>19</v>
      </c>
    </row>
    <row r="343" spans="1:9" x14ac:dyDescent="0.25">
      <c r="A343" s="2">
        <v>43974</v>
      </c>
      <c r="B343" s="3" t="s">
        <v>22</v>
      </c>
      <c r="C343" s="3">
        <v>275793</v>
      </c>
      <c r="D343" s="3">
        <v>26806626</v>
      </c>
      <c r="I343" s="3">
        <f t="shared" si="5"/>
        <v>21</v>
      </c>
    </row>
    <row r="344" spans="1:9" x14ac:dyDescent="0.25">
      <c r="A344" s="2">
        <v>43979</v>
      </c>
      <c r="B344" s="3" t="s">
        <v>21</v>
      </c>
      <c r="C344" s="3">
        <v>199753.5</v>
      </c>
      <c r="D344" s="3">
        <v>20535733.5</v>
      </c>
      <c r="I344" s="3">
        <f t="shared" si="5"/>
        <v>22</v>
      </c>
    </row>
    <row r="345" spans="1:9" x14ac:dyDescent="0.25">
      <c r="A345" s="2">
        <v>43976</v>
      </c>
      <c r="B345" s="3" t="s">
        <v>22</v>
      </c>
      <c r="C345" s="3">
        <v>192948</v>
      </c>
      <c r="D345" s="3">
        <v>19806927</v>
      </c>
      <c r="I345" s="3">
        <f t="shared" si="5"/>
        <v>22</v>
      </c>
    </row>
    <row r="346" spans="1:9" x14ac:dyDescent="0.25">
      <c r="A346" s="2">
        <v>43951</v>
      </c>
      <c r="B346" s="3" t="s">
        <v>22</v>
      </c>
      <c r="C346" s="3">
        <v>206038.5</v>
      </c>
      <c r="D346" s="3">
        <v>21740460</v>
      </c>
      <c r="I346" s="3">
        <f t="shared" si="5"/>
        <v>18</v>
      </c>
    </row>
    <row r="347" spans="1:9" x14ac:dyDescent="0.25">
      <c r="A347" s="2">
        <v>43961</v>
      </c>
      <c r="B347" s="3" t="s">
        <v>22</v>
      </c>
      <c r="C347" s="3">
        <v>231559.5</v>
      </c>
      <c r="D347" s="3">
        <v>23443725</v>
      </c>
      <c r="I347" s="3">
        <f t="shared" si="5"/>
        <v>19</v>
      </c>
    </row>
    <row r="348" spans="1:9" x14ac:dyDescent="0.25">
      <c r="A348" s="2">
        <v>43959</v>
      </c>
      <c r="B348" s="3" t="s">
        <v>22</v>
      </c>
      <c r="C348" s="3">
        <v>225076.5</v>
      </c>
      <c r="D348" s="3">
        <v>22846078.5</v>
      </c>
      <c r="I348" s="3">
        <f t="shared" si="5"/>
        <v>19</v>
      </c>
    </row>
    <row r="349" spans="1:9" x14ac:dyDescent="0.25">
      <c r="A349" s="2">
        <v>43958</v>
      </c>
      <c r="B349" s="3" t="s">
        <v>22</v>
      </c>
      <c r="C349" s="3">
        <v>209415</v>
      </c>
      <c r="D349" s="3">
        <v>21463023</v>
      </c>
      <c r="I349" s="3">
        <f t="shared" si="5"/>
        <v>19</v>
      </c>
    </row>
    <row r="350" spans="1:9" x14ac:dyDescent="0.25">
      <c r="A350" s="2">
        <v>43975</v>
      </c>
      <c r="B350" s="3" t="s">
        <v>22</v>
      </c>
      <c r="C350" s="3">
        <v>193719</v>
      </c>
      <c r="D350" s="3">
        <v>19071117</v>
      </c>
      <c r="I350" s="3">
        <f t="shared" si="5"/>
        <v>21</v>
      </c>
    </row>
    <row r="351" spans="1:9" x14ac:dyDescent="0.25">
      <c r="A351" s="2">
        <v>43950</v>
      </c>
      <c r="B351" s="3" t="s">
        <v>23</v>
      </c>
      <c r="C351" s="3">
        <v>12250.5</v>
      </c>
      <c r="D351" s="3">
        <v>981519</v>
      </c>
      <c r="I351" s="3">
        <f t="shared" si="5"/>
        <v>18</v>
      </c>
    </row>
    <row r="352" spans="1:9" x14ac:dyDescent="0.25">
      <c r="A352" s="2">
        <v>43949</v>
      </c>
      <c r="B352" s="3" t="s">
        <v>23</v>
      </c>
      <c r="C352" s="3">
        <v>12541.5</v>
      </c>
      <c r="D352" s="3">
        <v>992541</v>
      </c>
      <c r="I352" s="3">
        <f t="shared" si="5"/>
        <v>18</v>
      </c>
    </row>
    <row r="353" spans="1:9" x14ac:dyDescent="0.25">
      <c r="A353" s="2">
        <v>43982</v>
      </c>
      <c r="B353" s="3" t="s">
        <v>22</v>
      </c>
      <c r="C353" s="3">
        <v>206758.5</v>
      </c>
      <c r="D353" s="3">
        <v>20717248.5</v>
      </c>
      <c r="I353" s="3">
        <f t="shared" si="5"/>
        <v>22</v>
      </c>
    </row>
    <row r="354" spans="1:9" x14ac:dyDescent="0.25">
      <c r="A354" s="2">
        <v>43981</v>
      </c>
      <c r="B354" s="3" t="s">
        <v>22</v>
      </c>
      <c r="C354" s="3">
        <v>244734</v>
      </c>
      <c r="D354" s="3">
        <v>24151980</v>
      </c>
      <c r="I354" s="3">
        <f t="shared" si="5"/>
        <v>22</v>
      </c>
    </row>
    <row r="355" spans="1:9" x14ac:dyDescent="0.25">
      <c r="A355" s="2">
        <v>43979</v>
      </c>
      <c r="B355" s="3" t="s">
        <v>22</v>
      </c>
      <c r="C355" s="3">
        <v>191641.5</v>
      </c>
      <c r="D355" s="3">
        <v>19549036.5</v>
      </c>
      <c r="I355" s="3">
        <f t="shared" si="5"/>
        <v>22</v>
      </c>
    </row>
    <row r="356" spans="1:9" x14ac:dyDescent="0.25">
      <c r="A356" s="2">
        <v>43967</v>
      </c>
      <c r="B356" s="3" t="s">
        <v>23</v>
      </c>
      <c r="C356" s="3">
        <v>16368</v>
      </c>
      <c r="D356" s="3">
        <v>1316350.5</v>
      </c>
      <c r="I356" s="3">
        <f t="shared" si="5"/>
        <v>20</v>
      </c>
    </row>
    <row r="357" spans="1:9" x14ac:dyDescent="0.25">
      <c r="A357" s="2">
        <v>43970</v>
      </c>
      <c r="B357" s="3" t="s">
        <v>23</v>
      </c>
      <c r="C357" s="3">
        <v>14427</v>
      </c>
      <c r="D357" s="3">
        <v>1126810.5</v>
      </c>
      <c r="I357" s="3">
        <f t="shared" si="5"/>
        <v>21</v>
      </c>
    </row>
    <row r="358" spans="1:9" x14ac:dyDescent="0.25">
      <c r="A358" s="2">
        <v>43968</v>
      </c>
      <c r="B358" s="3" t="s">
        <v>23</v>
      </c>
      <c r="C358" s="3">
        <v>13440</v>
      </c>
      <c r="D358" s="3">
        <v>1157529</v>
      </c>
      <c r="I358" s="3">
        <f t="shared" si="5"/>
        <v>20</v>
      </c>
    </row>
    <row r="359" spans="1:9" x14ac:dyDescent="0.25">
      <c r="A359" s="2">
        <v>43960</v>
      </c>
      <c r="B359" s="3" t="s">
        <v>23</v>
      </c>
      <c r="C359" s="3">
        <v>11745</v>
      </c>
      <c r="D359" s="3">
        <v>955801.5</v>
      </c>
      <c r="I359" s="3">
        <f t="shared" si="5"/>
        <v>19</v>
      </c>
    </row>
    <row r="360" spans="1:9" x14ac:dyDescent="0.25">
      <c r="A360" s="2">
        <v>43955</v>
      </c>
      <c r="B360" s="3" t="s">
        <v>23</v>
      </c>
      <c r="C360" s="3">
        <v>11062.5</v>
      </c>
      <c r="D360" s="3">
        <v>906343.5</v>
      </c>
      <c r="I360" s="3">
        <f t="shared" si="5"/>
        <v>19</v>
      </c>
    </row>
    <row r="361" spans="1:9" x14ac:dyDescent="0.25">
      <c r="A361" s="2">
        <v>43953</v>
      </c>
      <c r="B361" s="3" t="s">
        <v>23</v>
      </c>
      <c r="C361" s="3">
        <v>10018.5</v>
      </c>
      <c r="D361" s="3">
        <v>816859.5</v>
      </c>
      <c r="I361" s="3">
        <f t="shared" si="5"/>
        <v>18</v>
      </c>
    </row>
    <row r="362" spans="1:9" x14ac:dyDescent="0.25">
      <c r="A362" s="2">
        <v>43977</v>
      </c>
      <c r="B362" s="3" t="s">
        <v>24</v>
      </c>
      <c r="C362" s="3">
        <v>10437</v>
      </c>
      <c r="D362" s="3">
        <v>833815.5</v>
      </c>
      <c r="I362" s="3">
        <f t="shared" si="5"/>
        <v>22</v>
      </c>
    </row>
    <row r="363" spans="1:9" x14ac:dyDescent="0.25">
      <c r="A363" s="2">
        <v>43952</v>
      </c>
      <c r="B363" s="3" t="s">
        <v>23</v>
      </c>
      <c r="C363" s="3">
        <v>13644</v>
      </c>
      <c r="D363" s="3">
        <v>1134444</v>
      </c>
      <c r="I363" s="3">
        <f t="shared" si="5"/>
        <v>18</v>
      </c>
    </row>
    <row r="364" spans="1:9" x14ac:dyDescent="0.25">
      <c r="A364" s="2">
        <v>43963</v>
      </c>
      <c r="B364" s="3" t="s">
        <v>23</v>
      </c>
      <c r="C364" s="3">
        <v>13443</v>
      </c>
      <c r="D364" s="3">
        <v>1092277.5</v>
      </c>
      <c r="I364" s="3">
        <f t="shared" si="5"/>
        <v>20</v>
      </c>
    </row>
    <row r="365" spans="1:9" x14ac:dyDescent="0.25">
      <c r="A365" s="2">
        <v>43972</v>
      </c>
      <c r="B365" s="3" t="s">
        <v>23</v>
      </c>
      <c r="C365" s="3">
        <v>14182.5</v>
      </c>
      <c r="D365" s="3">
        <v>1172574</v>
      </c>
      <c r="I365" s="3">
        <f t="shared" si="5"/>
        <v>21</v>
      </c>
    </row>
    <row r="366" spans="1:9" x14ac:dyDescent="0.25">
      <c r="A366" s="2">
        <v>43971</v>
      </c>
      <c r="B366" s="3" t="s">
        <v>23</v>
      </c>
      <c r="C366" s="3">
        <v>14928</v>
      </c>
      <c r="D366" s="3">
        <v>1217749.5</v>
      </c>
      <c r="I366" s="3">
        <f t="shared" si="5"/>
        <v>21</v>
      </c>
    </row>
    <row r="367" spans="1:9" x14ac:dyDescent="0.25">
      <c r="A367" s="2">
        <v>43956</v>
      </c>
      <c r="B367" s="3" t="s">
        <v>23</v>
      </c>
      <c r="C367" s="3">
        <v>13941</v>
      </c>
      <c r="D367" s="3">
        <v>1145575.5</v>
      </c>
      <c r="I367" s="3">
        <f t="shared" si="5"/>
        <v>19</v>
      </c>
    </row>
    <row r="368" spans="1:9" x14ac:dyDescent="0.25">
      <c r="A368" s="2">
        <v>43964</v>
      </c>
      <c r="B368" s="3" t="s">
        <v>23</v>
      </c>
      <c r="C368" s="3">
        <v>14643</v>
      </c>
      <c r="D368" s="3">
        <v>1172691</v>
      </c>
      <c r="I368" s="3">
        <f t="shared" si="5"/>
        <v>20</v>
      </c>
    </row>
    <row r="369" spans="1:9" x14ac:dyDescent="0.25">
      <c r="A369" s="2">
        <v>43954</v>
      </c>
      <c r="B369" s="3" t="s">
        <v>23</v>
      </c>
      <c r="C369" s="3">
        <v>10032</v>
      </c>
      <c r="D369" s="3">
        <v>816150</v>
      </c>
      <c r="I369" s="3">
        <f t="shared" si="5"/>
        <v>18</v>
      </c>
    </row>
    <row r="370" spans="1:9" x14ac:dyDescent="0.25">
      <c r="A370" s="2">
        <v>43957</v>
      </c>
      <c r="B370" s="3" t="s">
        <v>23</v>
      </c>
      <c r="C370" s="3">
        <v>12468</v>
      </c>
      <c r="D370" s="3">
        <v>1016566.5</v>
      </c>
      <c r="I370" s="3">
        <f t="shared" si="5"/>
        <v>19</v>
      </c>
    </row>
    <row r="371" spans="1:9" x14ac:dyDescent="0.25">
      <c r="A371" s="2">
        <v>43974</v>
      </c>
      <c r="B371" s="3" t="s">
        <v>23</v>
      </c>
      <c r="C371" s="3">
        <v>17943</v>
      </c>
      <c r="D371" s="3">
        <v>1457391</v>
      </c>
      <c r="I371" s="3">
        <f t="shared" si="5"/>
        <v>21</v>
      </c>
    </row>
    <row r="372" spans="1:9" x14ac:dyDescent="0.25">
      <c r="A372" s="2">
        <v>43976</v>
      </c>
      <c r="B372" s="3" t="s">
        <v>23</v>
      </c>
      <c r="C372" s="3">
        <v>15807</v>
      </c>
      <c r="D372" s="3">
        <v>1326705</v>
      </c>
      <c r="I372" s="3">
        <f t="shared" si="5"/>
        <v>22</v>
      </c>
    </row>
    <row r="373" spans="1:9" x14ac:dyDescent="0.25">
      <c r="A373" s="2">
        <v>43951</v>
      </c>
      <c r="B373" s="3" t="s">
        <v>23</v>
      </c>
      <c r="C373" s="3">
        <v>11976</v>
      </c>
      <c r="D373" s="3">
        <v>1004511</v>
      </c>
      <c r="I373" s="3">
        <f t="shared" si="5"/>
        <v>18</v>
      </c>
    </row>
    <row r="374" spans="1:9" x14ac:dyDescent="0.25">
      <c r="A374" s="2">
        <v>43961</v>
      </c>
      <c r="B374" s="3" t="s">
        <v>23</v>
      </c>
      <c r="C374" s="3">
        <v>14566.5</v>
      </c>
      <c r="D374" s="3">
        <v>1216557</v>
      </c>
      <c r="I374" s="3">
        <f t="shared" si="5"/>
        <v>19</v>
      </c>
    </row>
    <row r="375" spans="1:9" x14ac:dyDescent="0.25">
      <c r="A375" s="2">
        <v>43959</v>
      </c>
      <c r="B375" s="3" t="s">
        <v>23</v>
      </c>
      <c r="C375" s="3">
        <v>12976.5</v>
      </c>
      <c r="D375" s="3">
        <v>1046848.5</v>
      </c>
      <c r="I375" s="3">
        <f t="shared" si="5"/>
        <v>19</v>
      </c>
    </row>
    <row r="376" spans="1:9" x14ac:dyDescent="0.25">
      <c r="A376" s="2">
        <v>43958</v>
      </c>
      <c r="B376" s="3" t="s">
        <v>23</v>
      </c>
      <c r="C376" s="3">
        <v>11719.5</v>
      </c>
      <c r="D376" s="3">
        <v>965880</v>
      </c>
      <c r="I376" s="3">
        <f t="shared" si="5"/>
        <v>19</v>
      </c>
    </row>
    <row r="377" spans="1:9" x14ac:dyDescent="0.25">
      <c r="A377" s="2">
        <v>43975</v>
      </c>
      <c r="B377" s="3" t="s">
        <v>23</v>
      </c>
      <c r="C377" s="3">
        <v>17197.5</v>
      </c>
      <c r="D377" s="3">
        <v>1386262.5</v>
      </c>
      <c r="I377" s="3">
        <f t="shared" si="5"/>
        <v>21</v>
      </c>
    </row>
    <row r="378" spans="1:9" x14ac:dyDescent="0.25">
      <c r="A378" s="2">
        <v>43977</v>
      </c>
      <c r="B378" s="3" t="s">
        <v>23</v>
      </c>
      <c r="C378" s="3">
        <v>14419.5</v>
      </c>
      <c r="D378" s="3">
        <v>1210456.5</v>
      </c>
      <c r="I378" s="3">
        <f t="shared" si="5"/>
        <v>22</v>
      </c>
    </row>
    <row r="379" spans="1:9" x14ac:dyDescent="0.25">
      <c r="A379" s="2">
        <v>43983</v>
      </c>
      <c r="B379" s="3" t="s">
        <v>9</v>
      </c>
      <c r="C379" s="3">
        <v>7816.5</v>
      </c>
      <c r="D379" s="3">
        <v>636345</v>
      </c>
      <c r="I379" s="3">
        <f t="shared" si="5"/>
        <v>23</v>
      </c>
    </row>
    <row r="380" spans="1:9" x14ac:dyDescent="0.25">
      <c r="A380" s="2">
        <v>43982</v>
      </c>
      <c r="B380" s="3" t="s">
        <v>25</v>
      </c>
      <c r="C380" s="3">
        <v>6409.5</v>
      </c>
      <c r="D380" s="3">
        <v>493893</v>
      </c>
      <c r="I380" s="3">
        <f t="shared" si="5"/>
        <v>22</v>
      </c>
    </row>
    <row r="381" spans="1:9" x14ac:dyDescent="0.25">
      <c r="A381" s="2">
        <v>43981</v>
      </c>
      <c r="B381" s="3" t="s">
        <v>24</v>
      </c>
      <c r="C381" s="3">
        <v>11220</v>
      </c>
      <c r="D381" s="3">
        <v>928675.5</v>
      </c>
      <c r="I381" s="3">
        <f t="shared" si="5"/>
        <v>22</v>
      </c>
    </row>
    <row r="382" spans="1:9" x14ac:dyDescent="0.25">
      <c r="A382" s="2">
        <v>43980</v>
      </c>
      <c r="B382" s="3" t="s">
        <v>9</v>
      </c>
      <c r="C382" s="3">
        <v>8350.5</v>
      </c>
      <c r="D382" s="3">
        <v>651237</v>
      </c>
      <c r="I382" s="3">
        <f t="shared" si="5"/>
        <v>22</v>
      </c>
    </row>
    <row r="383" spans="1:9" x14ac:dyDescent="0.25">
      <c r="A383" s="2">
        <v>43979</v>
      </c>
      <c r="B383" s="3" t="s">
        <v>24</v>
      </c>
      <c r="C383" s="3">
        <v>8428.5</v>
      </c>
      <c r="D383" s="3">
        <v>694669.5</v>
      </c>
      <c r="I383" s="3">
        <f t="shared" si="5"/>
        <v>22</v>
      </c>
    </row>
    <row r="384" spans="1:9" x14ac:dyDescent="0.25">
      <c r="A384" s="2">
        <v>43978</v>
      </c>
      <c r="B384" s="3" t="s">
        <v>10</v>
      </c>
      <c r="C384" s="3">
        <v>32817</v>
      </c>
      <c r="D384" s="3">
        <v>3015751.5</v>
      </c>
      <c r="I384" s="3">
        <f t="shared" si="5"/>
        <v>22</v>
      </c>
    </row>
    <row r="385" spans="1:9" x14ac:dyDescent="0.25">
      <c r="A385" s="2">
        <v>43973</v>
      </c>
      <c r="B385" s="3" t="s">
        <v>10</v>
      </c>
      <c r="C385" s="3">
        <v>36031.5</v>
      </c>
      <c r="D385" s="3">
        <v>3091069.5</v>
      </c>
      <c r="I385" s="3">
        <f t="shared" si="5"/>
        <v>21</v>
      </c>
    </row>
    <row r="386" spans="1:9" x14ac:dyDescent="0.25">
      <c r="A386" s="2">
        <v>43982</v>
      </c>
      <c r="B386" s="3" t="s">
        <v>26</v>
      </c>
      <c r="C386" s="3">
        <v>5127</v>
      </c>
      <c r="D386" s="3">
        <v>468835.5</v>
      </c>
      <c r="I386" s="3">
        <f t="shared" si="5"/>
        <v>22</v>
      </c>
    </row>
    <row r="387" spans="1:9" x14ac:dyDescent="0.25">
      <c r="A387" s="2">
        <v>43962</v>
      </c>
      <c r="B387" s="3" t="s">
        <v>10</v>
      </c>
      <c r="C387" s="3">
        <v>27187.5</v>
      </c>
      <c r="D387" s="3">
        <v>2479396.5</v>
      </c>
      <c r="I387" s="3">
        <f t="shared" ref="I387:I450" si="6">WEEKNUM(A387,2)</f>
        <v>20</v>
      </c>
    </row>
    <row r="388" spans="1:9" x14ac:dyDescent="0.25">
      <c r="A388" s="2">
        <v>43981</v>
      </c>
      <c r="B388" s="3" t="s">
        <v>23</v>
      </c>
      <c r="C388" s="3">
        <v>20688</v>
      </c>
      <c r="D388" s="3">
        <v>1773154.5</v>
      </c>
      <c r="I388" s="3">
        <f t="shared" si="6"/>
        <v>22</v>
      </c>
    </row>
    <row r="389" spans="1:9" x14ac:dyDescent="0.25">
      <c r="A389" s="2">
        <v>43979</v>
      </c>
      <c r="B389" s="3" t="s">
        <v>23</v>
      </c>
      <c r="C389" s="3">
        <v>15678</v>
      </c>
      <c r="D389" s="3">
        <v>1387443</v>
      </c>
      <c r="I389" s="3">
        <f t="shared" si="6"/>
        <v>22</v>
      </c>
    </row>
    <row r="390" spans="1:9" x14ac:dyDescent="0.25">
      <c r="A390" s="2">
        <v>43969</v>
      </c>
      <c r="B390" s="3" t="s">
        <v>10</v>
      </c>
      <c r="C390" s="3">
        <v>31329</v>
      </c>
      <c r="D390" s="3">
        <v>2826379.5</v>
      </c>
      <c r="I390" s="3">
        <f t="shared" si="6"/>
        <v>21</v>
      </c>
    </row>
    <row r="391" spans="1:9" x14ac:dyDescent="0.25">
      <c r="A391" s="2">
        <v>43965</v>
      </c>
      <c r="B391" s="3" t="s">
        <v>10</v>
      </c>
      <c r="C391" s="3">
        <v>29658</v>
      </c>
      <c r="D391" s="3">
        <v>2703132</v>
      </c>
      <c r="I391" s="3">
        <f t="shared" si="6"/>
        <v>20</v>
      </c>
    </row>
    <row r="392" spans="1:9" x14ac:dyDescent="0.25">
      <c r="A392" s="2">
        <v>43966</v>
      </c>
      <c r="B392" s="3" t="s">
        <v>10</v>
      </c>
      <c r="C392" s="3">
        <v>34150.5</v>
      </c>
      <c r="D392" s="3">
        <v>3038293.5</v>
      </c>
      <c r="I392" s="3">
        <f t="shared" si="6"/>
        <v>20</v>
      </c>
    </row>
    <row r="393" spans="1:9" x14ac:dyDescent="0.25">
      <c r="A393" s="2">
        <v>43983</v>
      </c>
      <c r="B393" s="3" t="s">
        <v>10</v>
      </c>
      <c r="C393" s="3">
        <v>31947</v>
      </c>
      <c r="D393" s="3">
        <v>2945035.5</v>
      </c>
      <c r="I393" s="3">
        <f t="shared" si="6"/>
        <v>23</v>
      </c>
    </row>
    <row r="394" spans="1:9" x14ac:dyDescent="0.25">
      <c r="A394" s="2">
        <v>43982</v>
      </c>
      <c r="B394" s="3" t="s">
        <v>24</v>
      </c>
      <c r="C394" s="3">
        <v>10416</v>
      </c>
      <c r="D394" s="3">
        <v>866023.5</v>
      </c>
      <c r="I394" s="3">
        <f t="shared" si="6"/>
        <v>22</v>
      </c>
    </row>
    <row r="395" spans="1:9" x14ac:dyDescent="0.25">
      <c r="A395" s="2">
        <v>43980</v>
      </c>
      <c r="B395" s="3" t="s">
        <v>10</v>
      </c>
      <c r="C395" s="3">
        <v>35431.5</v>
      </c>
      <c r="D395" s="3">
        <v>3193167</v>
      </c>
      <c r="I395" s="3">
        <f t="shared" si="6"/>
        <v>22</v>
      </c>
    </row>
    <row r="396" spans="1:9" x14ac:dyDescent="0.25">
      <c r="A396" s="2">
        <v>43978</v>
      </c>
      <c r="B396" s="3" t="s">
        <v>11</v>
      </c>
      <c r="C396" s="3">
        <v>78544.5</v>
      </c>
      <c r="D396" s="3">
        <v>6701083.5</v>
      </c>
      <c r="I396" s="3">
        <f t="shared" si="6"/>
        <v>22</v>
      </c>
    </row>
    <row r="397" spans="1:9" x14ac:dyDescent="0.25">
      <c r="A397" s="2">
        <v>43973</v>
      </c>
      <c r="B397" s="3" t="s">
        <v>11</v>
      </c>
      <c r="C397" s="3">
        <v>97963.5</v>
      </c>
      <c r="D397" s="3">
        <v>7728465</v>
      </c>
      <c r="I397" s="3">
        <f t="shared" si="6"/>
        <v>21</v>
      </c>
    </row>
    <row r="398" spans="1:9" x14ac:dyDescent="0.25">
      <c r="A398" s="2">
        <v>43983</v>
      </c>
      <c r="B398" s="3" t="s">
        <v>11</v>
      </c>
      <c r="C398" s="3">
        <v>77269.5</v>
      </c>
      <c r="D398" s="3">
        <v>6829921.5</v>
      </c>
      <c r="I398" s="3">
        <f t="shared" si="6"/>
        <v>23</v>
      </c>
    </row>
    <row r="399" spans="1:9" x14ac:dyDescent="0.25">
      <c r="A399" s="2">
        <v>43982</v>
      </c>
      <c r="B399" s="3" t="s">
        <v>23</v>
      </c>
      <c r="C399" s="3">
        <v>16143</v>
      </c>
      <c r="D399" s="3">
        <v>1423410</v>
      </c>
      <c r="I399" s="3">
        <f t="shared" si="6"/>
        <v>22</v>
      </c>
    </row>
    <row r="400" spans="1:9" x14ac:dyDescent="0.25">
      <c r="A400" s="2">
        <v>43962</v>
      </c>
      <c r="B400" s="3" t="s">
        <v>11</v>
      </c>
      <c r="C400" s="3">
        <v>72220.5</v>
      </c>
      <c r="D400" s="3">
        <v>6398719.5</v>
      </c>
      <c r="I400" s="3">
        <f t="shared" si="6"/>
        <v>20</v>
      </c>
    </row>
    <row r="401" spans="1:9" x14ac:dyDescent="0.25">
      <c r="A401" s="2">
        <v>43969</v>
      </c>
      <c r="B401" s="3" t="s">
        <v>11</v>
      </c>
      <c r="C401" s="3">
        <v>78058.5</v>
      </c>
      <c r="D401" s="3">
        <v>6609714</v>
      </c>
      <c r="I401" s="3">
        <f t="shared" si="6"/>
        <v>21</v>
      </c>
    </row>
    <row r="402" spans="1:9" x14ac:dyDescent="0.25">
      <c r="A402" s="2">
        <v>43965</v>
      </c>
      <c r="B402" s="3" t="s">
        <v>11</v>
      </c>
      <c r="C402" s="3">
        <v>70498.5</v>
      </c>
      <c r="D402" s="3">
        <v>6053649</v>
      </c>
      <c r="I402" s="3">
        <f t="shared" si="6"/>
        <v>20</v>
      </c>
    </row>
    <row r="403" spans="1:9" x14ac:dyDescent="0.25">
      <c r="A403" s="2">
        <v>43966</v>
      </c>
      <c r="B403" s="3" t="s">
        <v>11</v>
      </c>
      <c r="C403" s="3">
        <v>78961.5</v>
      </c>
      <c r="D403" s="3">
        <v>6876454.5</v>
      </c>
      <c r="I403" s="3">
        <f t="shared" si="6"/>
        <v>20</v>
      </c>
    </row>
    <row r="404" spans="1:9" x14ac:dyDescent="0.25">
      <c r="A404" s="2">
        <v>43978</v>
      </c>
      <c r="B404" s="3" t="s">
        <v>12</v>
      </c>
      <c r="C404" s="3">
        <v>12490.5</v>
      </c>
      <c r="D404" s="3">
        <v>1054798.5</v>
      </c>
      <c r="I404" s="3">
        <f t="shared" si="6"/>
        <v>22</v>
      </c>
    </row>
    <row r="405" spans="1:9" x14ac:dyDescent="0.25">
      <c r="A405" s="2">
        <v>43973</v>
      </c>
      <c r="B405" s="3" t="s">
        <v>12</v>
      </c>
      <c r="C405" s="3">
        <v>18036</v>
      </c>
      <c r="D405" s="3">
        <v>1455049.5</v>
      </c>
      <c r="I405" s="3">
        <f t="shared" si="6"/>
        <v>21</v>
      </c>
    </row>
    <row r="406" spans="1:9" x14ac:dyDescent="0.25">
      <c r="A406" s="2">
        <v>43983</v>
      </c>
      <c r="B406" s="3" t="s">
        <v>12</v>
      </c>
      <c r="C406" s="3">
        <v>11416.5</v>
      </c>
      <c r="D406" s="3">
        <v>1007742</v>
      </c>
      <c r="I406" s="3">
        <f t="shared" si="6"/>
        <v>23</v>
      </c>
    </row>
    <row r="407" spans="1:9" x14ac:dyDescent="0.25">
      <c r="A407" s="2">
        <v>43962</v>
      </c>
      <c r="B407" s="3" t="s">
        <v>12</v>
      </c>
      <c r="C407" s="3">
        <v>9007.5</v>
      </c>
      <c r="D407" s="3">
        <v>734335.5</v>
      </c>
      <c r="I407" s="3">
        <f t="shared" si="6"/>
        <v>20</v>
      </c>
    </row>
    <row r="408" spans="1:9" x14ac:dyDescent="0.25">
      <c r="A408" s="2">
        <v>43980</v>
      </c>
      <c r="B408" s="3" t="s">
        <v>11</v>
      </c>
      <c r="C408" s="3">
        <v>87552</v>
      </c>
      <c r="D408" s="3">
        <v>7387116</v>
      </c>
      <c r="I408" s="3">
        <f t="shared" si="6"/>
        <v>22</v>
      </c>
    </row>
    <row r="409" spans="1:9" x14ac:dyDescent="0.25">
      <c r="A409" s="2">
        <v>43969</v>
      </c>
      <c r="B409" s="3" t="s">
        <v>12</v>
      </c>
      <c r="C409" s="3">
        <v>11680.5</v>
      </c>
      <c r="D409" s="3">
        <v>936427.5</v>
      </c>
      <c r="I409" s="3">
        <f t="shared" si="6"/>
        <v>21</v>
      </c>
    </row>
    <row r="410" spans="1:9" x14ac:dyDescent="0.25">
      <c r="A410" s="2">
        <v>43965</v>
      </c>
      <c r="B410" s="3" t="s">
        <v>12</v>
      </c>
      <c r="C410" s="3">
        <v>12037.5</v>
      </c>
      <c r="D410" s="3">
        <v>981564</v>
      </c>
      <c r="I410" s="3">
        <f t="shared" si="6"/>
        <v>20</v>
      </c>
    </row>
    <row r="411" spans="1:9" x14ac:dyDescent="0.25">
      <c r="A411" s="2">
        <v>43966</v>
      </c>
      <c r="B411" s="3" t="s">
        <v>12</v>
      </c>
      <c r="C411" s="3">
        <v>14421</v>
      </c>
      <c r="D411" s="3">
        <v>1150579.5</v>
      </c>
      <c r="I411" s="3">
        <f t="shared" si="6"/>
        <v>20</v>
      </c>
    </row>
    <row r="412" spans="1:9" x14ac:dyDescent="0.25">
      <c r="A412" s="2">
        <v>43980</v>
      </c>
      <c r="B412" s="3" t="s">
        <v>12</v>
      </c>
      <c r="C412" s="3">
        <v>14823</v>
      </c>
      <c r="D412" s="3">
        <v>1273464</v>
      </c>
      <c r="I412" s="3">
        <f t="shared" si="6"/>
        <v>22</v>
      </c>
    </row>
    <row r="413" spans="1:9" x14ac:dyDescent="0.25">
      <c r="A413" s="2">
        <v>43978</v>
      </c>
      <c r="B413" s="3" t="s">
        <v>13</v>
      </c>
      <c r="C413" s="3">
        <v>31257</v>
      </c>
      <c r="D413" s="3">
        <v>2924133</v>
      </c>
      <c r="I413" s="3">
        <f t="shared" si="6"/>
        <v>22</v>
      </c>
    </row>
    <row r="414" spans="1:9" x14ac:dyDescent="0.25">
      <c r="A414" s="2">
        <v>43973</v>
      </c>
      <c r="B414" s="3" t="s">
        <v>13</v>
      </c>
      <c r="C414" s="3">
        <v>38074.5</v>
      </c>
      <c r="D414" s="3">
        <v>3414180</v>
      </c>
      <c r="I414" s="3">
        <f t="shared" si="6"/>
        <v>21</v>
      </c>
    </row>
    <row r="415" spans="1:9" x14ac:dyDescent="0.25">
      <c r="A415" s="2">
        <v>43983</v>
      </c>
      <c r="B415" s="3" t="s">
        <v>13</v>
      </c>
      <c r="C415" s="3">
        <v>32170.5</v>
      </c>
      <c r="D415" s="3">
        <v>3013512</v>
      </c>
      <c r="I415" s="3">
        <f t="shared" si="6"/>
        <v>23</v>
      </c>
    </row>
    <row r="416" spans="1:9" x14ac:dyDescent="0.25">
      <c r="A416" s="2">
        <v>43962</v>
      </c>
      <c r="B416" s="3" t="s">
        <v>13</v>
      </c>
      <c r="C416" s="3">
        <v>42397.5</v>
      </c>
      <c r="D416" s="3">
        <v>3911979</v>
      </c>
      <c r="I416" s="3">
        <f t="shared" si="6"/>
        <v>20</v>
      </c>
    </row>
    <row r="417" spans="1:9" x14ac:dyDescent="0.25">
      <c r="A417" s="2">
        <v>43969</v>
      </c>
      <c r="B417" s="3" t="s">
        <v>13</v>
      </c>
      <c r="C417" s="3">
        <v>28668</v>
      </c>
      <c r="D417" s="3">
        <v>2588148</v>
      </c>
      <c r="I417" s="3">
        <f t="shared" si="6"/>
        <v>21</v>
      </c>
    </row>
    <row r="418" spans="1:9" x14ac:dyDescent="0.25">
      <c r="A418" s="2">
        <v>43965</v>
      </c>
      <c r="B418" s="3" t="s">
        <v>13</v>
      </c>
      <c r="C418" s="3">
        <v>27411</v>
      </c>
      <c r="D418" s="3">
        <v>2441520</v>
      </c>
      <c r="I418" s="3">
        <f t="shared" si="6"/>
        <v>20</v>
      </c>
    </row>
    <row r="419" spans="1:9" x14ac:dyDescent="0.25">
      <c r="A419" s="2">
        <v>43966</v>
      </c>
      <c r="B419" s="3" t="s">
        <v>13</v>
      </c>
      <c r="C419" s="3">
        <v>32854.5</v>
      </c>
      <c r="D419" s="3">
        <v>2949078</v>
      </c>
      <c r="I419" s="3">
        <f t="shared" si="6"/>
        <v>20</v>
      </c>
    </row>
    <row r="420" spans="1:9" x14ac:dyDescent="0.25">
      <c r="A420" s="2">
        <v>43980</v>
      </c>
      <c r="B420" s="3" t="s">
        <v>13</v>
      </c>
      <c r="C420" s="3">
        <v>35346</v>
      </c>
      <c r="D420" s="3">
        <v>3258054</v>
      </c>
      <c r="I420" s="3">
        <f t="shared" si="6"/>
        <v>22</v>
      </c>
    </row>
    <row r="421" spans="1:9" x14ac:dyDescent="0.25">
      <c r="A421" s="2">
        <v>43978</v>
      </c>
      <c r="B421" s="3" t="s">
        <v>14</v>
      </c>
      <c r="C421" s="3">
        <v>286558.5</v>
      </c>
      <c r="D421" s="3">
        <v>29256993</v>
      </c>
      <c r="I421" s="3">
        <f t="shared" si="6"/>
        <v>22</v>
      </c>
    </row>
    <row r="422" spans="1:9" x14ac:dyDescent="0.25">
      <c r="A422" s="2">
        <v>43973</v>
      </c>
      <c r="B422" s="3" t="s">
        <v>14</v>
      </c>
      <c r="C422" s="3">
        <v>304092</v>
      </c>
      <c r="D422" s="3">
        <v>29465769</v>
      </c>
      <c r="I422" s="3">
        <f t="shared" si="6"/>
        <v>21</v>
      </c>
    </row>
    <row r="423" spans="1:9" x14ac:dyDescent="0.25">
      <c r="A423" s="2">
        <v>43983</v>
      </c>
      <c r="B423" s="3" t="s">
        <v>14</v>
      </c>
      <c r="C423" s="3">
        <v>272926.5</v>
      </c>
      <c r="D423" s="3">
        <v>27770092.5</v>
      </c>
      <c r="I423" s="3">
        <f t="shared" si="6"/>
        <v>23</v>
      </c>
    </row>
    <row r="424" spans="1:9" x14ac:dyDescent="0.25">
      <c r="A424" s="2">
        <v>43962</v>
      </c>
      <c r="B424" s="3" t="s">
        <v>14</v>
      </c>
      <c r="C424" s="3">
        <v>237099</v>
      </c>
      <c r="D424" s="3">
        <v>24628233.223949999</v>
      </c>
      <c r="I424" s="3">
        <f t="shared" si="6"/>
        <v>20</v>
      </c>
    </row>
    <row r="425" spans="1:9" x14ac:dyDescent="0.25">
      <c r="A425" s="2">
        <v>43969</v>
      </c>
      <c r="B425" s="3" t="s">
        <v>14</v>
      </c>
      <c r="C425" s="3">
        <v>273900</v>
      </c>
      <c r="D425" s="3">
        <v>27535284.147599999</v>
      </c>
      <c r="I425" s="3">
        <f t="shared" si="6"/>
        <v>21</v>
      </c>
    </row>
    <row r="426" spans="1:9" x14ac:dyDescent="0.25">
      <c r="A426" s="2">
        <v>43965</v>
      </c>
      <c r="B426" s="3" t="s">
        <v>14</v>
      </c>
      <c r="C426" s="3">
        <v>274059</v>
      </c>
      <c r="D426" s="3">
        <v>28181292</v>
      </c>
      <c r="I426" s="3">
        <f t="shared" si="6"/>
        <v>20</v>
      </c>
    </row>
    <row r="427" spans="1:9" x14ac:dyDescent="0.25">
      <c r="A427" s="2">
        <v>43966</v>
      </c>
      <c r="B427" s="3" t="s">
        <v>14</v>
      </c>
      <c r="C427" s="3">
        <v>318816</v>
      </c>
      <c r="D427" s="3">
        <v>32354331</v>
      </c>
      <c r="I427" s="3">
        <f t="shared" si="6"/>
        <v>20</v>
      </c>
    </row>
    <row r="428" spans="1:9" x14ac:dyDescent="0.25">
      <c r="A428" s="2">
        <v>43978</v>
      </c>
      <c r="B428" s="3" t="s">
        <v>15</v>
      </c>
      <c r="C428" s="3">
        <v>370012.5</v>
      </c>
      <c r="D428" s="3">
        <v>39034861.5</v>
      </c>
      <c r="I428" s="3">
        <f t="shared" si="6"/>
        <v>22</v>
      </c>
    </row>
    <row r="429" spans="1:9" x14ac:dyDescent="0.25">
      <c r="A429" s="2">
        <v>43973</v>
      </c>
      <c r="B429" s="3" t="s">
        <v>15</v>
      </c>
      <c r="C429" s="3">
        <v>393018</v>
      </c>
      <c r="D429" s="3">
        <v>39498373.5</v>
      </c>
      <c r="I429" s="3">
        <f t="shared" si="6"/>
        <v>21</v>
      </c>
    </row>
    <row r="430" spans="1:9" x14ac:dyDescent="0.25">
      <c r="A430" s="2">
        <v>43983</v>
      </c>
      <c r="B430" s="3" t="s">
        <v>15</v>
      </c>
      <c r="C430" s="3">
        <v>349699.5</v>
      </c>
      <c r="D430" s="3">
        <v>37257840.18135</v>
      </c>
      <c r="I430" s="3">
        <f t="shared" si="6"/>
        <v>23</v>
      </c>
    </row>
    <row r="431" spans="1:9" x14ac:dyDescent="0.25">
      <c r="A431" s="2">
        <v>43962</v>
      </c>
      <c r="B431" s="3" t="s">
        <v>15</v>
      </c>
      <c r="C431" s="3">
        <v>318565.5</v>
      </c>
      <c r="D431" s="3">
        <v>33781581</v>
      </c>
      <c r="I431" s="3">
        <f t="shared" si="6"/>
        <v>20</v>
      </c>
    </row>
    <row r="432" spans="1:9" x14ac:dyDescent="0.25">
      <c r="A432" s="2">
        <v>43980</v>
      </c>
      <c r="B432" s="3" t="s">
        <v>14</v>
      </c>
      <c r="C432" s="3">
        <v>422965.5</v>
      </c>
      <c r="D432" s="3">
        <v>41767140.104999997</v>
      </c>
      <c r="I432" s="3">
        <f t="shared" si="6"/>
        <v>22</v>
      </c>
    </row>
    <row r="433" spans="1:9" x14ac:dyDescent="0.25">
      <c r="A433" s="2">
        <v>43969</v>
      </c>
      <c r="B433" s="3" t="s">
        <v>15</v>
      </c>
      <c r="C433" s="3">
        <v>355081.5</v>
      </c>
      <c r="D433" s="3">
        <v>36876888</v>
      </c>
      <c r="I433" s="3">
        <f t="shared" si="6"/>
        <v>21</v>
      </c>
    </row>
    <row r="434" spans="1:9" x14ac:dyDescent="0.25">
      <c r="A434" s="2">
        <v>43965</v>
      </c>
      <c r="B434" s="3" t="s">
        <v>15</v>
      </c>
      <c r="C434" s="3">
        <v>358387.5</v>
      </c>
      <c r="D434" s="3">
        <v>37963150.5</v>
      </c>
      <c r="I434" s="3">
        <f t="shared" si="6"/>
        <v>20</v>
      </c>
    </row>
    <row r="435" spans="1:9" x14ac:dyDescent="0.25">
      <c r="A435" s="2">
        <v>43966</v>
      </c>
      <c r="B435" s="3" t="s">
        <v>15</v>
      </c>
      <c r="C435" s="3">
        <v>403261.5</v>
      </c>
      <c r="D435" s="3">
        <v>42271377</v>
      </c>
      <c r="I435" s="3">
        <f t="shared" si="6"/>
        <v>20</v>
      </c>
    </row>
    <row r="436" spans="1:9" x14ac:dyDescent="0.25">
      <c r="A436" s="2">
        <v>43978</v>
      </c>
      <c r="B436" s="3" t="s">
        <v>16</v>
      </c>
      <c r="C436" s="3">
        <v>69010.5</v>
      </c>
      <c r="D436" s="3">
        <v>5985894</v>
      </c>
      <c r="I436" s="3">
        <f t="shared" si="6"/>
        <v>22</v>
      </c>
    </row>
    <row r="437" spans="1:9" x14ac:dyDescent="0.25">
      <c r="A437" s="2">
        <v>43973</v>
      </c>
      <c r="B437" s="3" t="s">
        <v>16</v>
      </c>
      <c r="C437" s="3">
        <v>75820.5</v>
      </c>
      <c r="D437" s="3">
        <v>5943489</v>
      </c>
      <c r="I437" s="3">
        <f t="shared" si="6"/>
        <v>21</v>
      </c>
    </row>
    <row r="438" spans="1:9" x14ac:dyDescent="0.25">
      <c r="A438" s="2">
        <v>43983</v>
      </c>
      <c r="B438" s="3" t="s">
        <v>16</v>
      </c>
      <c r="C438" s="3">
        <v>64740</v>
      </c>
      <c r="D438" s="3">
        <v>5800290</v>
      </c>
      <c r="I438" s="3">
        <f t="shared" si="6"/>
        <v>23</v>
      </c>
    </row>
    <row r="439" spans="1:9" x14ac:dyDescent="0.25">
      <c r="A439" s="2">
        <v>43962</v>
      </c>
      <c r="B439" s="3" t="s">
        <v>16</v>
      </c>
      <c r="C439" s="3">
        <v>59574</v>
      </c>
      <c r="D439" s="3">
        <v>5178169.5</v>
      </c>
      <c r="I439" s="3">
        <f t="shared" si="6"/>
        <v>20</v>
      </c>
    </row>
    <row r="440" spans="1:9" x14ac:dyDescent="0.25">
      <c r="A440" s="2">
        <v>43980</v>
      </c>
      <c r="B440" s="3" t="s">
        <v>15</v>
      </c>
      <c r="C440" s="3">
        <v>524481</v>
      </c>
      <c r="D440" s="3">
        <v>54172029</v>
      </c>
      <c r="I440" s="3">
        <f t="shared" si="6"/>
        <v>22</v>
      </c>
    </row>
    <row r="441" spans="1:9" x14ac:dyDescent="0.25">
      <c r="A441" s="2">
        <v>43969</v>
      </c>
      <c r="B441" s="3" t="s">
        <v>16</v>
      </c>
      <c r="C441" s="3">
        <v>70278</v>
      </c>
      <c r="D441" s="3">
        <v>5798476.5</v>
      </c>
      <c r="I441" s="3">
        <f t="shared" si="6"/>
        <v>21</v>
      </c>
    </row>
    <row r="442" spans="1:9" x14ac:dyDescent="0.25">
      <c r="A442" s="2">
        <v>43965</v>
      </c>
      <c r="B442" s="3" t="s">
        <v>16</v>
      </c>
      <c r="C442" s="3">
        <v>63645</v>
      </c>
      <c r="D442" s="3">
        <v>5366602.5</v>
      </c>
      <c r="I442" s="3">
        <f t="shared" si="6"/>
        <v>20</v>
      </c>
    </row>
    <row r="443" spans="1:9" x14ac:dyDescent="0.25">
      <c r="A443" s="2">
        <v>43966</v>
      </c>
      <c r="B443" s="3" t="s">
        <v>16</v>
      </c>
      <c r="C443" s="3">
        <v>75642</v>
      </c>
      <c r="D443" s="3">
        <v>6293952</v>
      </c>
      <c r="I443" s="3">
        <f t="shared" si="6"/>
        <v>20</v>
      </c>
    </row>
    <row r="444" spans="1:9" x14ac:dyDescent="0.25">
      <c r="A444" s="2">
        <v>43978</v>
      </c>
      <c r="B444" s="3" t="s">
        <v>17</v>
      </c>
      <c r="C444" s="3">
        <v>40420.5</v>
      </c>
      <c r="D444" s="3">
        <v>3780852</v>
      </c>
      <c r="I444" s="3">
        <f t="shared" si="6"/>
        <v>22</v>
      </c>
    </row>
    <row r="445" spans="1:9" x14ac:dyDescent="0.25">
      <c r="A445" s="2">
        <v>43973</v>
      </c>
      <c r="B445" s="3" t="s">
        <v>17</v>
      </c>
      <c r="C445" s="3">
        <v>53838</v>
      </c>
      <c r="D445" s="3">
        <v>4840833</v>
      </c>
      <c r="I445" s="3">
        <f t="shared" si="6"/>
        <v>21</v>
      </c>
    </row>
    <row r="446" spans="1:9" x14ac:dyDescent="0.25">
      <c r="A446" s="2">
        <v>43983</v>
      </c>
      <c r="B446" s="3" t="s">
        <v>17</v>
      </c>
      <c r="C446" s="3">
        <v>40528.5</v>
      </c>
      <c r="D446" s="3">
        <v>3865251</v>
      </c>
      <c r="I446" s="3">
        <f t="shared" si="6"/>
        <v>23</v>
      </c>
    </row>
    <row r="447" spans="1:9" x14ac:dyDescent="0.25">
      <c r="A447" s="2">
        <v>43962</v>
      </c>
      <c r="B447" s="3" t="s">
        <v>17</v>
      </c>
      <c r="C447" s="3">
        <v>32733</v>
      </c>
      <c r="D447" s="3">
        <v>3079630.5</v>
      </c>
      <c r="I447" s="3">
        <f t="shared" si="6"/>
        <v>20</v>
      </c>
    </row>
    <row r="448" spans="1:9" x14ac:dyDescent="0.25">
      <c r="A448" s="2">
        <v>43980</v>
      </c>
      <c r="B448" s="3" t="s">
        <v>16</v>
      </c>
      <c r="C448" s="3">
        <v>84433.5</v>
      </c>
      <c r="D448" s="3">
        <v>7228395</v>
      </c>
      <c r="I448" s="3">
        <f t="shared" si="6"/>
        <v>22</v>
      </c>
    </row>
    <row r="449" spans="1:9" x14ac:dyDescent="0.25">
      <c r="A449" s="2">
        <v>43969</v>
      </c>
      <c r="B449" s="3" t="s">
        <v>17</v>
      </c>
      <c r="C449" s="3">
        <v>36655.5</v>
      </c>
      <c r="D449" s="3">
        <v>3360135</v>
      </c>
      <c r="I449" s="3">
        <f t="shared" si="6"/>
        <v>21</v>
      </c>
    </row>
    <row r="450" spans="1:9" x14ac:dyDescent="0.25">
      <c r="A450" s="2">
        <v>43965</v>
      </c>
      <c r="B450" s="3" t="s">
        <v>17</v>
      </c>
      <c r="C450" s="3">
        <v>33886.5</v>
      </c>
      <c r="D450" s="3">
        <v>3166479</v>
      </c>
      <c r="I450" s="3">
        <f t="shared" si="6"/>
        <v>20</v>
      </c>
    </row>
    <row r="451" spans="1:9" x14ac:dyDescent="0.25">
      <c r="A451" s="2">
        <v>43966</v>
      </c>
      <c r="B451" s="3" t="s">
        <v>17</v>
      </c>
      <c r="C451" s="3">
        <v>41697</v>
      </c>
      <c r="D451" s="3">
        <v>3772258.5</v>
      </c>
      <c r="I451" s="3">
        <f t="shared" ref="I451:I514" si="7">WEEKNUM(A451,2)</f>
        <v>20</v>
      </c>
    </row>
    <row r="452" spans="1:9" x14ac:dyDescent="0.25">
      <c r="A452" s="2">
        <v>43980</v>
      </c>
      <c r="B452" s="3" t="s">
        <v>17</v>
      </c>
      <c r="C452" s="3">
        <v>44569.5</v>
      </c>
      <c r="D452" s="3">
        <v>4108596</v>
      </c>
      <c r="I452" s="3">
        <f t="shared" si="7"/>
        <v>22</v>
      </c>
    </row>
    <row r="453" spans="1:9" x14ac:dyDescent="0.25">
      <c r="A453" s="2">
        <v>43978</v>
      </c>
      <c r="B453" s="3" t="s">
        <v>18</v>
      </c>
      <c r="C453" s="3">
        <v>18069</v>
      </c>
      <c r="D453" s="3">
        <v>1603084.5</v>
      </c>
      <c r="I453" s="3">
        <f t="shared" si="7"/>
        <v>22</v>
      </c>
    </row>
    <row r="454" spans="1:9" x14ac:dyDescent="0.25">
      <c r="A454" s="2">
        <v>43973</v>
      </c>
      <c r="B454" s="3" t="s">
        <v>18</v>
      </c>
      <c r="C454" s="3">
        <v>21483</v>
      </c>
      <c r="D454" s="3">
        <v>1774329</v>
      </c>
      <c r="I454" s="3">
        <f t="shared" si="7"/>
        <v>21</v>
      </c>
    </row>
    <row r="455" spans="1:9" x14ac:dyDescent="0.25">
      <c r="A455" s="2">
        <v>43983</v>
      </c>
      <c r="B455" s="3" t="s">
        <v>18</v>
      </c>
      <c r="C455" s="3">
        <v>16687.5</v>
      </c>
      <c r="D455" s="3">
        <v>1526608.5</v>
      </c>
      <c r="I455" s="3">
        <f t="shared" si="7"/>
        <v>23</v>
      </c>
    </row>
    <row r="456" spans="1:9" x14ac:dyDescent="0.25">
      <c r="A456" s="2">
        <v>43962</v>
      </c>
      <c r="B456" s="3" t="s">
        <v>18</v>
      </c>
      <c r="C456" s="3">
        <v>12238.5</v>
      </c>
      <c r="D456" s="3">
        <v>1096002</v>
      </c>
      <c r="I456" s="3">
        <f t="shared" si="7"/>
        <v>20</v>
      </c>
    </row>
    <row r="457" spans="1:9" x14ac:dyDescent="0.25">
      <c r="A457" s="2">
        <v>43969</v>
      </c>
      <c r="B457" s="3" t="s">
        <v>18</v>
      </c>
      <c r="C457" s="3">
        <v>14290.5</v>
      </c>
      <c r="D457" s="3">
        <v>1246162.5</v>
      </c>
      <c r="I457" s="3">
        <f t="shared" si="7"/>
        <v>21</v>
      </c>
    </row>
    <row r="458" spans="1:9" x14ac:dyDescent="0.25">
      <c r="A458" s="2">
        <v>43965</v>
      </c>
      <c r="B458" s="3" t="s">
        <v>18</v>
      </c>
      <c r="C458" s="3">
        <v>14385</v>
      </c>
      <c r="D458" s="3">
        <v>1223491.5</v>
      </c>
      <c r="I458" s="3">
        <f t="shared" si="7"/>
        <v>20</v>
      </c>
    </row>
    <row r="459" spans="1:9" x14ac:dyDescent="0.25">
      <c r="A459" s="2">
        <v>43966</v>
      </c>
      <c r="B459" s="3" t="s">
        <v>18</v>
      </c>
      <c r="C459" s="3">
        <v>16498.5</v>
      </c>
      <c r="D459" s="3">
        <v>1370482.5</v>
      </c>
      <c r="I459" s="3">
        <f t="shared" si="7"/>
        <v>20</v>
      </c>
    </row>
    <row r="460" spans="1:9" x14ac:dyDescent="0.25">
      <c r="A460" s="2">
        <v>43978</v>
      </c>
      <c r="B460" s="3" t="s">
        <v>19</v>
      </c>
      <c r="C460" s="3">
        <v>13203</v>
      </c>
      <c r="D460" s="3">
        <v>1211457</v>
      </c>
      <c r="I460" s="3">
        <f t="shared" si="7"/>
        <v>22</v>
      </c>
    </row>
    <row r="461" spans="1:9" x14ac:dyDescent="0.25">
      <c r="A461" s="2">
        <v>43973</v>
      </c>
      <c r="B461" s="3" t="s">
        <v>19</v>
      </c>
      <c r="C461" s="3">
        <v>15802.5</v>
      </c>
      <c r="D461" s="3">
        <v>1411909.5</v>
      </c>
      <c r="I461" s="3">
        <f t="shared" si="7"/>
        <v>21</v>
      </c>
    </row>
    <row r="462" spans="1:9" x14ac:dyDescent="0.25">
      <c r="A462" s="2">
        <v>43983</v>
      </c>
      <c r="B462" s="3" t="s">
        <v>19</v>
      </c>
      <c r="C462" s="3">
        <v>16476</v>
      </c>
      <c r="D462" s="3">
        <v>1565632.5</v>
      </c>
      <c r="I462" s="3">
        <f t="shared" si="7"/>
        <v>23</v>
      </c>
    </row>
    <row r="463" spans="1:9" x14ac:dyDescent="0.25">
      <c r="A463" s="2">
        <v>43962</v>
      </c>
      <c r="B463" s="3" t="s">
        <v>19</v>
      </c>
      <c r="C463" s="3">
        <v>12654</v>
      </c>
      <c r="D463" s="3">
        <v>1081158</v>
      </c>
      <c r="I463" s="3">
        <f t="shared" si="7"/>
        <v>20</v>
      </c>
    </row>
    <row r="464" spans="1:9" x14ac:dyDescent="0.25">
      <c r="A464" s="2">
        <v>43980</v>
      </c>
      <c r="B464" s="3" t="s">
        <v>18</v>
      </c>
      <c r="C464" s="3">
        <v>19647</v>
      </c>
      <c r="D464" s="3">
        <v>1764669</v>
      </c>
      <c r="I464" s="3">
        <f t="shared" si="7"/>
        <v>22</v>
      </c>
    </row>
    <row r="465" spans="1:9" x14ac:dyDescent="0.25">
      <c r="A465" s="2">
        <v>43969</v>
      </c>
      <c r="B465" s="3" t="s">
        <v>19</v>
      </c>
      <c r="C465" s="3">
        <v>12450</v>
      </c>
      <c r="D465" s="3">
        <v>1115146.5</v>
      </c>
      <c r="I465" s="3">
        <f t="shared" si="7"/>
        <v>21</v>
      </c>
    </row>
    <row r="466" spans="1:9" x14ac:dyDescent="0.25">
      <c r="A466" s="2">
        <v>43965</v>
      </c>
      <c r="B466" s="3" t="s">
        <v>19</v>
      </c>
      <c r="C466" s="3">
        <v>11161.5</v>
      </c>
      <c r="D466" s="3">
        <v>963502.5</v>
      </c>
      <c r="I466" s="3">
        <f t="shared" si="7"/>
        <v>20</v>
      </c>
    </row>
    <row r="467" spans="1:9" x14ac:dyDescent="0.25">
      <c r="A467" s="2">
        <v>43966</v>
      </c>
      <c r="B467" s="3" t="s">
        <v>19</v>
      </c>
      <c r="C467" s="3">
        <v>12229.5</v>
      </c>
      <c r="D467" s="3">
        <v>1122730.5</v>
      </c>
      <c r="I467" s="3">
        <f t="shared" si="7"/>
        <v>20</v>
      </c>
    </row>
    <row r="468" spans="1:9" x14ac:dyDescent="0.25">
      <c r="A468" s="2">
        <v>43978</v>
      </c>
      <c r="B468" s="3" t="s">
        <v>20</v>
      </c>
      <c r="C468" s="3">
        <v>28050</v>
      </c>
      <c r="D468" s="3">
        <v>2458555.5</v>
      </c>
      <c r="I468" s="3">
        <f t="shared" si="7"/>
        <v>22</v>
      </c>
    </row>
    <row r="469" spans="1:9" x14ac:dyDescent="0.25">
      <c r="A469" s="2">
        <v>43973</v>
      </c>
      <c r="B469" s="3" t="s">
        <v>20</v>
      </c>
      <c r="C469" s="3">
        <v>30781.5</v>
      </c>
      <c r="D469" s="3">
        <v>2540715</v>
      </c>
      <c r="I469" s="3">
        <f t="shared" si="7"/>
        <v>21</v>
      </c>
    </row>
    <row r="470" spans="1:9" x14ac:dyDescent="0.25">
      <c r="A470" s="2">
        <v>43983</v>
      </c>
      <c r="B470" s="3" t="s">
        <v>20</v>
      </c>
      <c r="C470" s="3">
        <v>27960</v>
      </c>
      <c r="D470" s="3">
        <v>2538967.5</v>
      </c>
      <c r="I470" s="3">
        <f t="shared" si="7"/>
        <v>23</v>
      </c>
    </row>
    <row r="471" spans="1:9" x14ac:dyDescent="0.25">
      <c r="A471" s="2">
        <v>43962</v>
      </c>
      <c r="B471" s="3" t="s">
        <v>20</v>
      </c>
      <c r="C471" s="3">
        <v>23629.5</v>
      </c>
      <c r="D471" s="3">
        <v>2164365</v>
      </c>
      <c r="I471" s="3">
        <f t="shared" si="7"/>
        <v>20</v>
      </c>
    </row>
    <row r="472" spans="1:9" x14ac:dyDescent="0.25">
      <c r="A472" s="2">
        <v>43980</v>
      </c>
      <c r="B472" s="3" t="s">
        <v>19</v>
      </c>
      <c r="C472" s="3">
        <v>17052</v>
      </c>
      <c r="D472" s="3">
        <v>1549020</v>
      </c>
      <c r="I472" s="3">
        <f t="shared" si="7"/>
        <v>22</v>
      </c>
    </row>
    <row r="473" spans="1:9" x14ac:dyDescent="0.25">
      <c r="A473" s="2">
        <v>43969</v>
      </c>
      <c r="B473" s="3" t="s">
        <v>20</v>
      </c>
      <c r="C473" s="3">
        <v>27181.5</v>
      </c>
      <c r="D473" s="3">
        <v>2324490</v>
      </c>
      <c r="I473" s="3">
        <f t="shared" si="7"/>
        <v>21</v>
      </c>
    </row>
    <row r="474" spans="1:9" x14ac:dyDescent="0.25">
      <c r="A474" s="2">
        <v>43965</v>
      </c>
      <c r="B474" s="3" t="s">
        <v>20</v>
      </c>
      <c r="C474" s="3">
        <v>25656</v>
      </c>
      <c r="D474" s="3">
        <v>2225341.5</v>
      </c>
      <c r="I474" s="3">
        <f t="shared" si="7"/>
        <v>20</v>
      </c>
    </row>
    <row r="475" spans="1:9" x14ac:dyDescent="0.25">
      <c r="A475" s="2">
        <v>43966</v>
      </c>
      <c r="B475" s="3" t="s">
        <v>20</v>
      </c>
      <c r="C475" s="3">
        <v>29283</v>
      </c>
      <c r="D475" s="3">
        <v>2477487</v>
      </c>
      <c r="I475" s="3">
        <f t="shared" si="7"/>
        <v>20</v>
      </c>
    </row>
    <row r="476" spans="1:9" x14ac:dyDescent="0.25">
      <c r="A476" s="2">
        <v>43980</v>
      </c>
      <c r="B476" s="3" t="s">
        <v>20</v>
      </c>
      <c r="C476" s="3">
        <v>32782.5</v>
      </c>
      <c r="D476" s="3">
        <v>2854741.5</v>
      </c>
      <c r="I476" s="3">
        <f t="shared" si="7"/>
        <v>22</v>
      </c>
    </row>
    <row r="477" spans="1:9" x14ac:dyDescent="0.25">
      <c r="A477" s="2">
        <v>43978</v>
      </c>
      <c r="B477" s="3" t="s">
        <v>21</v>
      </c>
      <c r="C477" s="3">
        <v>215592</v>
      </c>
      <c r="D477" s="3">
        <v>22342300.5</v>
      </c>
      <c r="I477" s="3">
        <f t="shared" si="7"/>
        <v>22</v>
      </c>
    </row>
    <row r="478" spans="1:9" x14ac:dyDescent="0.25">
      <c r="A478" s="2">
        <v>43973</v>
      </c>
      <c r="B478" s="3" t="s">
        <v>21</v>
      </c>
      <c r="C478" s="3">
        <v>228334.5</v>
      </c>
      <c r="D478" s="3">
        <v>22380772.5</v>
      </c>
      <c r="I478" s="3">
        <f t="shared" si="7"/>
        <v>21</v>
      </c>
    </row>
    <row r="479" spans="1:9" x14ac:dyDescent="0.25">
      <c r="A479" s="2">
        <v>43983</v>
      </c>
      <c r="B479" s="3" t="s">
        <v>21</v>
      </c>
      <c r="C479" s="3">
        <v>188776.5</v>
      </c>
      <c r="D479" s="3">
        <v>19465372.5</v>
      </c>
      <c r="I479" s="3">
        <f t="shared" si="7"/>
        <v>23</v>
      </c>
    </row>
    <row r="480" spans="1:9" x14ac:dyDescent="0.25">
      <c r="A480" s="2">
        <v>43962</v>
      </c>
      <c r="B480" s="3" t="s">
        <v>21</v>
      </c>
      <c r="C480" s="3">
        <v>175293</v>
      </c>
      <c r="D480" s="3">
        <v>17919144</v>
      </c>
      <c r="I480" s="3">
        <f t="shared" si="7"/>
        <v>20</v>
      </c>
    </row>
    <row r="481" spans="1:9" x14ac:dyDescent="0.25">
      <c r="A481" s="2">
        <v>43969</v>
      </c>
      <c r="B481" s="3" t="s">
        <v>21</v>
      </c>
      <c r="C481" s="3">
        <v>201999</v>
      </c>
      <c r="D481" s="3">
        <v>20422435.5</v>
      </c>
      <c r="I481" s="3">
        <f t="shared" si="7"/>
        <v>21</v>
      </c>
    </row>
    <row r="482" spans="1:9" x14ac:dyDescent="0.25">
      <c r="A482" s="2">
        <v>43965</v>
      </c>
      <c r="B482" s="3" t="s">
        <v>21</v>
      </c>
      <c r="C482" s="3">
        <v>197946</v>
      </c>
      <c r="D482" s="3">
        <v>19942435.5</v>
      </c>
      <c r="I482" s="3">
        <f t="shared" si="7"/>
        <v>20</v>
      </c>
    </row>
    <row r="483" spans="1:9" x14ac:dyDescent="0.25">
      <c r="A483" s="2">
        <v>43966</v>
      </c>
      <c r="B483" s="3" t="s">
        <v>21</v>
      </c>
      <c r="C483" s="3">
        <v>230896.5</v>
      </c>
      <c r="D483" s="3">
        <v>23085222</v>
      </c>
      <c r="I483" s="3">
        <f t="shared" si="7"/>
        <v>20</v>
      </c>
    </row>
    <row r="484" spans="1:9" x14ac:dyDescent="0.25">
      <c r="A484" s="2">
        <v>43978</v>
      </c>
      <c r="B484" s="3" t="s">
        <v>22</v>
      </c>
      <c r="C484" s="3">
        <v>203532</v>
      </c>
      <c r="D484" s="3">
        <v>20953324.5</v>
      </c>
      <c r="I484" s="3">
        <f t="shared" si="7"/>
        <v>22</v>
      </c>
    </row>
    <row r="485" spans="1:9" x14ac:dyDescent="0.25">
      <c r="A485" s="2">
        <v>43973</v>
      </c>
      <c r="B485" s="3" t="s">
        <v>22</v>
      </c>
      <c r="C485" s="3">
        <v>214428</v>
      </c>
      <c r="D485" s="3">
        <v>20812585.5</v>
      </c>
      <c r="I485" s="3">
        <f t="shared" si="7"/>
        <v>21</v>
      </c>
    </row>
    <row r="486" spans="1:9" x14ac:dyDescent="0.25">
      <c r="A486" s="2">
        <v>43983</v>
      </c>
      <c r="B486" s="3" t="s">
        <v>22</v>
      </c>
      <c r="C486" s="3">
        <v>183228</v>
      </c>
      <c r="D486" s="3">
        <v>18914194.5</v>
      </c>
      <c r="I486" s="3">
        <f t="shared" si="7"/>
        <v>23</v>
      </c>
    </row>
    <row r="487" spans="1:9" x14ac:dyDescent="0.25">
      <c r="A487" s="2">
        <v>43962</v>
      </c>
      <c r="B487" s="3" t="s">
        <v>22</v>
      </c>
      <c r="C487" s="3">
        <v>166948.5</v>
      </c>
      <c r="D487" s="3">
        <v>16971231</v>
      </c>
      <c r="I487" s="3">
        <f t="shared" si="7"/>
        <v>20</v>
      </c>
    </row>
    <row r="488" spans="1:9" x14ac:dyDescent="0.25">
      <c r="A488" s="2">
        <v>43980</v>
      </c>
      <c r="B488" s="3" t="s">
        <v>21</v>
      </c>
      <c r="C488" s="3">
        <v>232102.5</v>
      </c>
      <c r="D488" s="3">
        <v>23120443.5</v>
      </c>
      <c r="I488" s="3">
        <f t="shared" si="7"/>
        <v>22</v>
      </c>
    </row>
    <row r="489" spans="1:9" x14ac:dyDescent="0.25">
      <c r="A489" s="2">
        <v>43969</v>
      </c>
      <c r="B489" s="3" t="s">
        <v>22</v>
      </c>
      <c r="C489" s="3">
        <v>196560</v>
      </c>
      <c r="D489" s="3">
        <v>19855122</v>
      </c>
      <c r="I489" s="3">
        <f t="shared" si="7"/>
        <v>21</v>
      </c>
    </row>
    <row r="490" spans="1:9" x14ac:dyDescent="0.25">
      <c r="A490" s="2">
        <v>43965</v>
      </c>
      <c r="B490" s="3" t="s">
        <v>22</v>
      </c>
      <c r="C490" s="3">
        <v>186496.5</v>
      </c>
      <c r="D490" s="3">
        <v>18640998</v>
      </c>
      <c r="I490" s="3">
        <f t="shared" si="7"/>
        <v>20</v>
      </c>
    </row>
    <row r="491" spans="1:9" x14ac:dyDescent="0.25">
      <c r="A491" s="2">
        <v>43966</v>
      </c>
      <c r="B491" s="3" t="s">
        <v>22</v>
      </c>
      <c r="C491" s="3">
        <v>219772.5</v>
      </c>
      <c r="D491" s="3">
        <v>21895294.5</v>
      </c>
      <c r="I491" s="3">
        <f t="shared" si="7"/>
        <v>20</v>
      </c>
    </row>
    <row r="492" spans="1:9" x14ac:dyDescent="0.25">
      <c r="A492" s="2">
        <v>43980</v>
      </c>
      <c r="B492" s="3" t="s">
        <v>22</v>
      </c>
      <c r="C492" s="3">
        <v>226476</v>
      </c>
      <c r="D492" s="3">
        <v>22416151.5</v>
      </c>
      <c r="I492" s="3">
        <f t="shared" si="7"/>
        <v>22</v>
      </c>
    </row>
    <row r="493" spans="1:9" x14ac:dyDescent="0.25">
      <c r="A493" s="2">
        <v>43978</v>
      </c>
      <c r="B493" s="3" t="s">
        <v>24</v>
      </c>
      <c r="C493" s="3">
        <v>8362.5</v>
      </c>
      <c r="D493" s="3">
        <v>687684</v>
      </c>
      <c r="I493" s="3">
        <f t="shared" si="7"/>
        <v>22</v>
      </c>
    </row>
    <row r="494" spans="1:9" x14ac:dyDescent="0.25">
      <c r="A494" s="2">
        <v>43973</v>
      </c>
      <c r="B494" s="3" t="s">
        <v>23</v>
      </c>
      <c r="C494" s="3">
        <v>17008.5</v>
      </c>
      <c r="D494" s="3">
        <v>1398771</v>
      </c>
      <c r="I494" s="3">
        <f t="shared" si="7"/>
        <v>21</v>
      </c>
    </row>
    <row r="495" spans="1:9" x14ac:dyDescent="0.25">
      <c r="A495" s="2">
        <v>43983</v>
      </c>
      <c r="B495" s="3" t="s">
        <v>25</v>
      </c>
      <c r="C495" s="3">
        <v>5166</v>
      </c>
      <c r="D495" s="3">
        <v>389013</v>
      </c>
      <c r="I495" s="3">
        <f t="shared" si="7"/>
        <v>23</v>
      </c>
    </row>
    <row r="496" spans="1:9" x14ac:dyDescent="0.25">
      <c r="A496" s="2">
        <v>43962</v>
      </c>
      <c r="B496" s="3" t="s">
        <v>23</v>
      </c>
      <c r="C496" s="3">
        <v>10941</v>
      </c>
      <c r="D496" s="3">
        <v>880356</v>
      </c>
      <c r="I496" s="3">
        <f t="shared" si="7"/>
        <v>20</v>
      </c>
    </row>
    <row r="497" spans="1:9" x14ac:dyDescent="0.25">
      <c r="A497" s="2">
        <v>43969</v>
      </c>
      <c r="B497" s="3" t="s">
        <v>23</v>
      </c>
      <c r="C497" s="3">
        <v>14497.5</v>
      </c>
      <c r="D497" s="3">
        <v>1230711</v>
      </c>
      <c r="I497" s="3">
        <f t="shared" si="7"/>
        <v>21</v>
      </c>
    </row>
    <row r="498" spans="1:9" x14ac:dyDescent="0.25">
      <c r="A498" s="2">
        <v>43965</v>
      </c>
      <c r="B498" s="3" t="s">
        <v>23</v>
      </c>
      <c r="C498" s="3">
        <v>13810.5</v>
      </c>
      <c r="D498" s="3">
        <v>1131676.5</v>
      </c>
      <c r="I498" s="3">
        <f t="shared" si="7"/>
        <v>20</v>
      </c>
    </row>
    <row r="499" spans="1:9" x14ac:dyDescent="0.25">
      <c r="A499" s="2">
        <v>43966</v>
      </c>
      <c r="B499" s="3" t="s">
        <v>23</v>
      </c>
      <c r="C499" s="3">
        <v>13752</v>
      </c>
      <c r="D499" s="3">
        <v>1091040</v>
      </c>
      <c r="I499" s="3">
        <f t="shared" si="7"/>
        <v>20</v>
      </c>
    </row>
    <row r="500" spans="1:9" x14ac:dyDescent="0.25">
      <c r="A500" s="2">
        <v>43978</v>
      </c>
      <c r="B500" s="3" t="s">
        <v>23</v>
      </c>
      <c r="C500" s="3">
        <v>15276</v>
      </c>
      <c r="D500" s="3">
        <v>1350199.5</v>
      </c>
      <c r="I500" s="3">
        <f t="shared" si="7"/>
        <v>22</v>
      </c>
    </row>
    <row r="501" spans="1:9" x14ac:dyDescent="0.25">
      <c r="A501" s="2">
        <v>43983</v>
      </c>
      <c r="B501" s="3" t="s">
        <v>26</v>
      </c>
      <c r="C501" s="3">
        <v>4408.5</v>
      </c>
      <c r="D501" s="3">
        <v>410892</v>
      </c>
      <c r="I501" s="3">
        <f t="shared" si="7"/>
        <v>23</v>
      </c>
    </row>
    <row r="502" spans="1:9" x14ac:dyDescent="0.25">
      <c r="A502" s="2">
        <v>43980</v>
      </c>
      <c r="B502" s="3" t="s">
        <v>24</v>
      </c>
      <c r="C502" s="3">
        <v>9927</v>
      </c>
      <c r="D502" s="3">
        <v>850840.5</v>
      </c>
      <c r="I502" s="3">
        <f t="shared" si="7"/>
        <v>22</v>
      </c>
    </row>
    <row r="503" spans="1:9" x14ac:dyDescent="0.25">
      <c r="A503" s="2">
        <v>43983</v>
      </c>
      <c r="B503" s="3" t="s">
        <v>24</v>
      </c>
      <c r="C503" s="3">
        <v>9474</v>
      </c>
      <c r="D503" s="3">
        <v>802447.5</v>
      </c>
      <c r="I503" s="3">
        <f t="shared" si="7"/>
        <v>23</v>
      </c>
    </row>
    <row r="504" spans="1:9" x14ac:dyDescent="0.25">
      <c r="A504" s="2">
        <v>43980</v>
      </c>
      <c r="B504" s="3" t="s">
        <v>23</v>
      </c>
      <c r="C504" s="3">
        <v>16878</v>
      </c>
      <c r="D504" s="3">
        <v>1438255.5</v>
      </c>
      <c r="I504" s="3">
        <f t="shared" si="7"/>
        <v>22</v>
      </c>
    </row>
    <row r="505" spans="1:9" x14ac:dyDescent="0.25">
      <c r="A505" s="2">
        <v>43983</v>
      </c>
      <c r="B505" s="3" t="s">
        <v>23</v>
      </c>
      <c r="C505" s="3">
        <v>14238</v>
      </c>
      <c r="D505" s="3">
        <v>1293219</v>
      </c>
      <c r="I505" s="3">
        <f t="shared" si="7"/>
        <v>23</v>
      </c>
    </row>
    <row r="506" spans="1:9" x14ac:dyDescent="0.25">
      <c r="A506" s="2">
        <v>43949</v>
      </c>
      <c r="B506" s="3" t="s">
        <v>16</v>
      </c>
      <c r="E506" s="3">
        <v>36</v>
      </c>
      <c r="F506" s="3">
        <v>4923</v>
      </c>
      <c r="G506" s="3">
        <v>4560</v>
      </c>
      <c r="I506" s="3">
        <f t="shared" si="7"/>
        <v>18</v>
      </c>
    </row>
    <row r="507" spans="1:9" x14ac:dyDescent="0.25">
      <c r="A507" s="2">
        <v>43949</v>
      </c>
      <c r="B507" s="3" t="s">
        <v>11</v>
      </c>
      <c r="E507" s="3">
        <v>31</v>
      </c>
      <c r="F507" s="3">
        <v>5465</v>
      </c>
      <c r="G507" s="3">
        <v>5096</v>
      </c>
      <c r="I507" s="3">
        <f t="shared" si="7"/>
        <v>18</v>
      </c>
    </row>
    <row r="508" spans="1:9" x14ac:dyDescent="0.25">
      <c r="A508" s="2">
        <v>43949</v>
      </c>
      <c r="B508" s="3" t="s">
        <v>17</v>
      </c>
      <c r="E508" s="3">
        <v>19</v>
      </c>
      <c r="F508" s="3">
        <v>1846</v>
      </c>
      <c r="G508" s="3">
        <v>1681</v>
      </c>
      <c r="I508" s="3">
        <f t="shared" si="7"/>
        <v>18</v>
      </c>
    </row>
    <row r="509" spans="1:9" x14ac:dyDescent="0.25">
      <c r="A509" s="2">
        <v>43949</v>
      </c>
      <c r="B509" s="3" t="s">
        <v>10</v>
      </c>
      <c r="E509" s="3">
        <v>18</v>
      </c>
      <c r="F509" s="3">
        <v>1539</v>
      </c>
      <c r="G509" s="3">
        <v>1404</v>
      </c>
      <c r="I509" s="3">
        <f t="shared" si="7"/>
        <v>18</v>
      </c>
    </row>
    <row r="510" spans="1:9" x14ac:dyDescent="0.25">
      <c r="A510" s="2">
        <v>43949</v>
      </c>
      <c r="B510" s="3" t="s">
        <v>20</v>
      </c>
      <c r="E510" s="3">
        <v>18</v>
      </c>
      <c r="F510" s="3">
        <v>1505</v>
      </c>
      <c r="G510" s="3">
        <v>1368</v>
      </c>
      <c r="I510" s="3">
        <f t="shared" si="7"/>
        <v>18</v>
      </c>
    </row>
    <row r="511" spans="1:9" x14ac:dyDescent="0.25">
      <c r="A511" s="2">
        <v>43949</v>
      </c>
      <c r="B511" s="3" t="s">
        <v>22</v>
      </c>
      <c r="E511" s="3">
        <v>54</v>
      </c>
      <c r="F511" s="3">
        <v>12306</v>
      </c>
      <c r="G511" s="3">
        <v>11532</v>
      </c>
      <c r="I511" s="3">
        <f t="shared" si="7"/>
        <v>18</v>
      </c>
    </row>
    <row r="512" spans="1:9" x14ac:dyDescent="0.25">
      <c r="A512" s="2">
        <v>43949</v>
      </c>
      <c r="B512" s="3" t="s">
        <v>21</v>
      </c>
      <c r="E512" s="3">
        <v>59</v>
      </c>
      <c r="F512" s="3">
        <v>12943</v>
      </c>
      <c r="G512" s="3">
        <v>12072</v>
      </c>
      <c r="I512" s="3">
        <f t="shared" si="7"/>
        <v>18</v>
      </c>
    </row>
    <row r="513" spans="1:9" x14ac:dyDescent="0.25">
      <c r="A513" s="2">
        <v>43949</v>
      </c>
      <c r="B513" s="3" t="s">
        <v>13</v>
      </c>
      <c r="E513" s="3">
        <v>17</v>
      </c>
      <c r="F513" s="3">
        <v>1439</v>
      </c>
      <c r="G513" s="3">
        <v>1265</v>
      </c>
      <c r="I513" s="3">
        <f t="shared" si="7"/>
        <v>18</v>
      </c>
    </row>
    <row r="514" spans="1:9" x14ac:dyDescent="0.25">
      <c r="A514" s="2">
        <v>43949</v>
      </c>
      <c r="B514" s="3" t="s">
        <v>23</v>
      </c>
      <c r="E514" s="3">
        <v>15</v>
      </c>
      <c r="F514" s="3">
        <v>636</v>
      </c>
      <c r="G514" s="3">
        <v>547</v>
      </c>
      <c r="I514" s="3">
        <f t="shared" si="7"/>
        <v>18</v>
      </c>
    </row>
    <row r="515" spans="1:9" x14ac:dyDescent="0.25">
      <c r="A515" s="2">
        <v>43949</v>
      </c>
      <c r="B515" s="3" t="s">
        <v>18</v>
      </c>
      <c r="E515" s="3">
        <v>15</v>
      </c>
      <c r="F515" s="3">
        <v>780</v>
      </c>
      <c r="G515" s="3">
        <v>690</v>
      </c>
      <c r="I515" s="3">
        <f t="shared" ref="I515:I578" si="8">WEEKNUM(A515,2)</f>
        <v>18</v>
      </c>
    </row>
    <row r="516" spans="1:9" x14ac:dyDescent="0.25">
      <c r="A516" s="2">
        <v>43949</v>
      </c>
      <c r="B516" s="3" t="s">
        <v>15</v>
      </c>
      <c r="E516" s="3">
        <v>125</v>
      </c>
      <c r="F516" s="3">
        <v>20914</v>
      </c>
      <c r="G516" s="3">
        <v>19479</v>
      </c>
      <c r="I516" s="3">
        <f t="shared" si="8"/>
        <v>18</v>
      </c>
    </row>
    <row r="517" spans="1:9" x14ac:dyDescent="0.25">
      <c r="A517" s="2">
        <v>43949</v>
      </c>
      <c r="B517" s="3" t="s">
        <v>14</v>
      </c>
      <c r="E517" s="3">
        <v>128</v>
      </c>
      <c r="F517" s="3">
        <v>16450</v>
      </c>
      <c r="G517" s="3">
        <v>15320</v>
      </c>
      <c r="I517" s="3">
        <f t="shared" si="8"/>
        <v>18</v>
      </c>
    </row>
    <row r="518" spans="1:9" x14ac:dyDescent="0.25">
      <c r="A518" s="2">
        <v>43949</v>
      </c>
      <c r="B518" s="3" t="s">
        <v>12</v>
      </c>
      <c r="E518" s="3">
        <v>10</v>
      </c>
      <c r="F518" s="3">
        <v>580</v>
      </c>
      <c r="G518" s="3">
        <v>506</v>
      </c>
      <c r="I518" s="3">
        <f t="shared" si="8"/>
        <v>18</v>
      </c>
    </row>
    <row r="519" spans="1:9" x14ac:dyDescent="0.25">
      <c r="A519" s="2">
        <v>43950</v>
      </c>
      <c r="B519" s="3" t="s">
        <v>16</v>
      </c>
      <c r="E519" s="3">
        <v>36</v>
      </c>
      <c r="F519" s="3">
        <v>4937</v>
      </c>
      <c r="G519" s="3">
        <v>4561</v>
      </c>
      <c r="I519" s="3">
        <f t="shared" si="8"/>
        <v>18</v>
      </c>
    </row>
    <row r="520" spans="1:9" x14ac:dyDescent="0.25">
      <c r="A520" s="2">
        <v>43950</v>
      </c>
      <c r="B520" s="3" t="s">
        <v>11</v>
      </c>
      <c r="E520" s="3">
        <v>31</v>
      </c>
      <c r="F520" s="3">
        <v>5378</v>
      </c>
      <c r="G520" s="3">
        <v>4985</v>
      </c>
      <c r="I520" s="3">
        <f t="shared" si="8"/>
        <v>18</v>
      </c>
    </row>
    <row r="521" spans="1:9" x14ac:dyDescent="0.25">
      <c r="A521" s="2">
        <v>43950</v>
      </c>
      <c r="B521" s="3" t="s">
        <v>17</v>
      </c>
      <c r="E521" s="3">
        <v>19</v>
      </c>
      <c r="F521" s="3">
        <v>1676</v>
      </c>
      <c r="G521" s="3">
        <v>1516</v>
      </c>
      <c r="I521" s="3">
        <f t="shared" si="8"/>
        <v>18</v>
      </c>
    </row>
    <row r="522" spans="1:9" x14ac:dyDescent="0.25">
      <c r="A522" s="2">
        <v>43950</v>
      </c>
      <c r="B522" s="3" t="s">
        <v>10</v>
      </c>
      <c r="E522" s="3">
        <v>18</v>
      </c>
      <c r="F522" s="3">
        <v>1684</v>
      </c>
      <c r="G522" s="3">
        <v>1528</v>
      </c>
      <c r="I522" s="3">
        <f t="shared" si="8"/>
        <v>18</v>
      </c>
    </row>
    <row r="523" spans="1:9" x14ac:dyDescent="0.25">
      <c r="A523" s="2">
        <v>43950</v>
      </c>
      <c r="B523" s="3" t="s">
        <v>20</v>
      </c>
      <c r="E523" s="3">
        <v>18</v>
      </c>
      <c r="F523" s="3">
        <v>1599</v>
      </c>
      <c r="G523" s="3">
        <v>1450</v>
      </c>
      <c r="I523" s="3">
        <f t="shared" si="8"/>
        <v>18</v>
      </c>
    </row>
    <row r="524" spans="1:9" x14ac:dyDescent="0.25">
      <c r="A524" s="2">
        <v>43950</v>
      </c>
      <c r="B524" s="3" t="s">
        <v>22</v>
      </c>
      <c r="E524" s="3">
        <v>54</v>
      </c>
      <c r="F524" s="3">
        <v>12747</v>
      </c>
      <c r="G524" s="3">
        <v>11884</v>
      </c>
      <c r="I524" s="3">
        <f t="shared" si="8"/>
        <v>18</v>
      </c>
    </row>
    <row r="525" spans="1:9" x14ac:dyDescent="0.25">
      <c r="A525" s="2">
        <v>43950</v>
      </c>
      <c r="B525" s="3" t="s">
        <v>21</v>
      </c>
      <c r="E525" s="3">
        <v>59</v>
      </c>
      <c r="F525" s="3">
        <v>13186</v>
      </c>
      <c r="G525" s="3">
        <v>12251</v>
      </c>
      <c r="I525" s="3">
        <f t="shared" si="8"/>
        <v>18</v>
      </c>
    </row>
    <row r="526" spans="1:9" x14ac:dyDescent="0.25">
      <c r="A526" s="2">
        <v>43950</v>
      </c>
      <c r="B526" s="3" t="s">
        <v>13</v>
      </c>
      <c r="E526" s="3">
        <v>18</v>
      </c>
      <c r="F526" s="3">
        <v>1534</v>
      </c>
      <c r="G526" s="3">
        <v>1369</v>
      </c>
      <c r="I526" s="3">
        <f t="shared" si="8"/>
        <v>18</v>
      </c>
    </row>
    <row r="527" spans="1:9" x14ac:dyDescent="0.25">
      <c r="A527" s="2">
        <v>43950</v>
      </c>
      <c r="B527" s="3" t="s">
        <v>23</v>
      </c>
      <c r="E527" s="3">
        <v>15</v>
      </c>
      <c r="F527" s="3">
        <v>659</v>
      </c>
      <c r="G527" s="3">
        <v>575</v>
      </c>
      <c r="I527" s="3">
        <f t="shared" si="8"/>
        <v>18</v>
      </c>
    </row>
    <row r="528" spans="1:9" x14ac:dyDescent="0.25">
      <c r="A528" s="2">
        <v>43950</v>
      </c>
      <c r="B528" s="3" t="s">
        <v>18</v>
      </c>
      <c r="E528" s="3">
        <v>15</v>
      </c>
      <c r="F528" s="3">
        <v>786</v>
      </c>
      <c r="G528" s="3">
        <v>695</v>
      </c>
      <c r="I528" s="3">
        <f t="shared" si="8"/>
        <v>18</v>
      </c>
    </row>
    <row r="529" spans="1:9" x14ac:dyDescent="0.25">
      <c r="A529" s="2">
        <v>43950</v>
      </c>
      <c r="B529" s="3" t="s">
        <v>15</v>
      </c>
      <c r="E529" s="3">
        <v>125</v>
      </c>
      <c r="F529" s="3">
        <v>21863</v>
      </c>
      <c r="G529" s="3">
        <v>20160</v>
      </c>
      <c r="I529" s="3">
        <f t="shared" si="8"/>
        <v>18</v>
      </c>
    </row>
    <row r="530" spans="1:9" x14ac:dyDescent="0.25">
      <c r="A530" s="2">
        <v>43950</v>
      </c>
      <c r="B530" s="3" t="s">
        <v>14</v>
      </c>
      <c r="E530" s="3">
        <v>128</v>
      </c>
      <c r="F530" s="3">
        <v>17368</v>
      </c>
      <c r="G530" s="3">
        <v>16077</v>
      </c>
      <c r="I530" s="3">
        <f t="shared" si="8"/>
        <v>18</v>
      </c>
    </row>
    <row r="531" spans="1:9" x14ac:dyDescent="0.25">
      <c r="A531" s="2">
        <v>43950</v>
      </c>
      <c r="B531" s="3" t="s">
        <v>12</v>
      </c>
      <c r="E531" s="3">
        <v>10</v>
      </c>
      <c r="F531" s="3">
        <v>502</v>
      </c>
      <c r="G531" s="3">
        <v>433</v>
      </c>
      <c r="I531" s="3">
        <f t="shared" si="8"/>
        <v>18</v>
      </c>
    </row>
    <row r="532" spans="1:9" x14ac:dyDescent="0.25">
      <c r="A532" s="2">
        <v>43951</v>
      </c>
      <c r="B532" s="3" t="s">
        <v>16</v>
      </c>
      <c r="E532" s="3">
        <v>36</v>
      </c>
      <c r="F532" s="3">
        <v>5143</v>
      </c>
      <c r="G532" s="3">
        <v>4715</v>
      </c>
      <c r="I532" s="3">
        <f t="shared" si="8"/>
        <v>18</v>
      </c>
    </row>
    <row r="533" spans="1:9" x14ac:dyDescent="0.25">
      <c r="A533" s="2">
        <v>43951</v>
      </c>
      <c r="B533" s="3" t="s">
        <v>11</v>
      </c>
      <c r="E533" s="3">
        <v>31</v>
      </c>
      <c r="F533" s="3">
        <v>5120</v>
      </c>
      <c r="G533" s="3">
        <v>4737</v>
      </c>
      <c r="I533" s="3">
        <f t="shared" si="8"/>
        <v>18</v>
      </c>
    </row>
    <row r="534" spans="1:9" x14ac:dyDescent="0.25">
      <c r="A534" s="2">
        <v>43951</v>
      </c>
      <c r="B534" s="3" t="s">
        <v>17</v>
      </c>
      <c r="E534" s="3">
        <v>20</v>
      </c>
      <c r="F534" s="3">
        <v>1756</v>
      </c>
      <c r="G534" s="3">
        <v>1586</v>
      </c>
      <c r="I534" s="3">
        <f t="shared" si="8"/>
        <v>18</v>
      </c>
    </row>
    <row r="535" spans="1:9" x14ac:dyDescent="0.25">
      <c r="A535" s="2">
        <v>43951</v>
      </c>
      <c r="B535" s="3" t="s">
        <v>10</v>
      </c>
      <c r="E535" s="3">
        <v>19</v>
      </c>
      <c r="F535" s="3">
        <v>1712</v>
      </c>
      <c r="G535" s="3">
        <v>1552</v>
      </c>
      <c r="I535" s="3">
        <f t="shared" si="8"/>
        <v>18</v>
      </c>
    </row>
    <row r="536" spans="1:9" x14ac:dyDescent="0.25">
      <c r="A536" s="2">
        <v>43951</v>
      </c>
      <c r="B536" s="3" t="s">
        <v>20</v>
      </c>
      <c r="E536" s="3">
        <v>19</v>
      </c>
      <c r="F536" s="3">
        <v>1662</v>
      </c>
      <c r="G536" s="3">
        <v>1506</v>
      </c>
      <c r="I536" s="3">
        <f t="shared" si="8"/>
        <v>18</v>
      </c>
    </row>
    <row r="537" spans="1:9" x14ac:dyDescent="0.25">
      <c r="A537" s="2">
        <v>43951</v>
      </c>
      <c r="B537" s="3" t="s">
        <v>22</v>
      </c>
      <c r="E537" s="3">
        <v>54</v>
      </c>
      <c r="F537" s="3">
        <v>12817</v>
      </c>
      <c r="G537" s="3">
        <v>11865</v>
      </c>
      <c r="I537" s="3">
        <f t="shared" si="8"/>
        <v>18</v>
      </c>
    </row>
    <row r="538" spans="1:9" x14ac:dyDescent="0.25">
      <c r="A538" s="2">
        <v>43951</v>
      </c>
      <c r="B538" s="3" t="s">
        <v>21</v>
      </c>
      <c r="E538" s="3">
        <v>59</v>
      </c>
      <c r="F538" s="3">
        <v>13251</v>
      </c>
      <c r="G538" s="3">
        <v>12255</v>
      </c>
      <c r="I538" s="3">
        <f t="shared" si="8"/>
        <v>18</v>
      </c>
    </row>
    <row r="539" spans="1:9" x14ac:dyDescent="0.25">
      <c r="A539" s="2">
        <v>43951</v>
      </c>
      <c r="B539" s="3" t="s">
        <v>13</v>
      </c>
      <c r="E539" s="3">
        <v>19</v>
      </c>
      <c r="F539" s="3">
        <v>1499</v>
      </c>
      <c r="G539" s="3">
        <v>1322</v>
      </c>
      <c r="I539" s="3">
        <f t="shared" si="8"/>
        <v>18</v>
      </c>
    </row>
    <row r="540" spans="1:9" x14ac:dyDescent="0.25">
      <c r="A540" s="2">
        <v>43951</v>
      </c>
      <c r="B540" s="3" t="s">
        <v>23</v>
      </c>
      <c r="E540" s="3">
        <v>15</v>
      </c>
      <c r="F540" s="3">
        <v>644</v>
      </c>
      <c r="G540" s="3">
        <v>550</v>
      </c>
      <c r="I540" s="3">
        <f t="shared" si="8"/>
        <v>18</v>
      </c>
    </row>
    <row r="541" spans="1:9" x14ac:dyDescent="0.25">
      <c r="A541" s="2">
        <v>43951</v>
      </c>
      <c r="B541" s="3" t="s">
        <v>18</v>
      </c>
      <c r="E541" s="3">
        <v>15</v>
      </c>
      <c r="F541" s="3">
        <v>791</v>
      </c>
      <c r="G541" s="3">
        <v>691</v>
      </c>
      <c r="I541" s="3">
        <f t="shared" si="8"/>
        <v>18</v>
      </c>
    </row>
    <row r="542" spans="1:9" x14ac:dyDescent="0.25">
      <c r="A542" s="2">
        <v>43951</v>
      </c>
      <c r="B542" s="3" t="s">
        <v>19</v>
      </c>
      <c r="E542" s="3">
        <v>15</v>
      </c>
      <c r="F542" s="3">
        <v>262</v>
      </c>
      <c r="G542" s="3">
        <v>195</v>
      </c>
      <c r="I542" s="3">
        <f t="shared" si="8"/>
        <v>18</v>
      </c>
    </row>
    <row r="543" spans="1:9" x14ac:dyDescent="0.25">
      <c r="A543" s="2">
        <v>43951</v>
      </c>
      <c r="B543" s="3" t="s">
        <v>15</v>
      </c>
      <c r="E543" s="3">
        <v>125</v>
      </c>
      <c r="F543" s="3">
        <v>22368</v>
      </c>
      <c r="G543" s="3">
        <v>20625</v>
      </c>
      <c r="I543" s="3">
        <f t="shared" si="8"/>
        <v>18</v>
      </c>
    </row>
    <row r="544" spans="1:9" x14ac:dyDescent="0.25">
      <c r="A544" s="2">
        <v>43951</v>
      </c>
      <c r="B544" s="3" t="s">
        <v>14</v>
      </c>
      <c r="E544" s="3">
        <v>129</v>
      </c>
      <c r="F544" s="3">
        <v>18042</v>
      </c>
      <c r="G544" s="3">
        <v>16631</v>
      </c>
      <c r="I544" s="3">
        <f t="shared" si="8"/>
        <v>18</v>
      </c>
    </row>
    <row r="545" spans="1:9" x14ac:dyDescent="0.25">
      <c r="A545" s="2">
        <v>43951</v>
      </c>
      <c r="B545" s="3" t="s">
        <v>12</v>
      </c>
      <c r="E545" s="3">
        <v>10</v>
      </c>
      <c r="F545" s="3">
        <v>448</v>
      </c>
      <c r="G545" s="3">
        <v>376</v>
      </c>
      <c r="I545" s="3">
        <f t="shared" si="8"/>
        <v>18</v>
      </c>
    </row>
    <row r="546" spans="1:9" x14ac:dyDescent="0.25">
      <c r="A546" s="2">
        <v>43952</v>
      </c>
      <c r="B546" s="3" t="s">
        <v>16</v>
      </c>
      <c r="E546" s="3">
        <v>36</v>
      </c>
      <c r="F546" s="3">
        <v>5457</v>
      </c>
      <c r="G546" s="3">
        <v>4916</v>
      </c>
      <c r="I546" s="3">
        <f t="shared" si="8"/>
        <v>18</v>
      </c>
    </row>
    <row r="547" spans="1:9" x14ac:dyDescent="0.25">
      <c r="A547" s="2">
        <v>43952</v>
      </c>
      <c r="B547" s="3" t="s">
        <v>11</v>
      </c>
      <c r="E547" s="3">
        <v>31</v>
      </c>
      <c r="F547" s="3">
        <v>6118</v>
      </c>
      <c r="G547" s="3">
        <v>5564</v>
      </c>
      <c r="I547" s="3">
        <f t="shared" si="8"/>
        <v>18</v>
      </c>
    </row>
    <row r="548" spans="1:9" x14ac:dyDescent="0.25">
      <c r="A548" s="2">
        <v>43952</v>
      </c>
      <c r="B548" s="3" t="s">
        <v>17</v>
      </c>
      <c r="E548" s="3">
        <v>20</v>
      </c>
      <c r="F548" s="3">
        <v>2468</v>
      </c>
      <c r="G548" s="3">
        <v>2221</v>
      </c>
      <c r="I548" s="3">
        <f t="shared" si="8"/>
        <v>18</v>
      </c>
    </row>
    <row r="549" spans="1:9" x14ac:dyDescent="0.25">
      <c r="A549" s="2">
        <v>43952</v>
      </c>
      <c r="B549" s="3" t="s">
        <v>10</v>
      </c>
      <c r="E549" s="3">
        <v>18</v>
      </c>
      <c r="F549" s="3">
        <v>1826</v>
      </c>
      <c r="G549" s="3">
        <v>1633</v>
      </c>
      <c r="I549" s="3">
        <f t="shared" si="8"/>
        <v>18</v>
      </c>
    </row>
    <row r="550" spans="1:9" x14ac:dyDescent="0.25">
      <c r="A550" s="2">
        <v>43952</v>
      </c>
      <c r="B550" s="3" t="s">
        <v>20</v>
      </c>
      <c r="E550" s="3">
        <v>19</v>
      </c>
      <c r="F550" s="3">
        <v>1987</v>
      </c>
      <c r="G550" s="3">
        <v>1791</v>
      </c>
      <c r="I550" s="3">
        <f t="shared" si="8"/>
        <v>18</v>
      </c>
    </row>
    <row r="551" spans="1:9" x14ac:dyDescent="0.25">
      <c r="A551" s="2">
        <v>43952</v>
      </c>
      <c r="B551" s="3" t="s">
        <v>22</v>
      </c>
      <c r="E551" s="3">
        <v>54</v>
      </c>
      <c r="F551" s="3">
        <v>14205</v>
      </c>
      <c r="G551" s="3">
        <v>13026</v>
      </c>
      <c r="I551" s="3">
        <f t="shared" si="8"/>
        <v>18</v>
      </c>
    </row>
    <row r="552" spans="1:9" x14ac:dyDescent="0.25">
      <c r="A552" s="2">
        <v>43952</v>
      </c>
      <c r="B552" s="3" t="s">
        <v>21</v>
      </c>
      <c r="E552" s="3">
        <v>59</v>
      </c>
      <c r="F552" s="3">
        <v>15222</v>
      </c>
      <c r="G552" s="3">
        <v>13873</v>
      </c>
      <c r="I552" s="3">
        <f t="shared" si="8"/>
        <v>18</v>
      </c>
    </row>
    <row r="553" spans="1:9" x14ac:dyDescent="0.25">
      <c r="A553" s="2">
        <v>43952</v>
      </c>
      <c r="B553" s="3" t="s">
        <v>13</v>
      </c>
      <c r="E553" s="3">
        <v>19</v>
      </c>
      <c r="F553" s="3">
        <v>1497</v>
      </c>
      <c r="G553" s="3">
        <v>1291</v>
      </c>
      <c r="I553" s="3">
        <f t="shared" si="8"/>
        <v>18</v>
      </c>
    </row>
    <row r="554" spans="1:9" x14ac:dyDescent="0.25">
      <c r="A554" s="2">
        <v>43952</v>
      </c>
      <c r="B554" s="3" t="s">
        <v>23</v>
      </c>
      <c r="E554" s="3">
        <v>15</v>
      </c>
      <c r="F554" s="3">
        <v>721</v>
      </c>
      <c r="G554" s="3">
        <v>625</v>
      </c>
      <c r="I554" s="3">
        <f t="shared" si="8"/>
        <v>18</v>
      </c>
    </row>
    <row r="555" spans="1:9" x14ac:dyDescent="0.25">
      <c r="A555" s="2">
        <v>43952</v>
      </c>
      <c r="B555" s="3" t="s">
        <v>18</v>
      </c>
      <c r="E555" s="3">
        <v>15</v>
      </c>
      <c r="F555" s="3">
        <v>996</v>
      </c>
      <c r="G555" s="3">
        <v>888</v>
      </c>
      <c r="I555" s="3">
        <f t="shared" si="8"/>
        <v>18</v>
      </c>
    </row>
    <row r="556" spans="1:9" x14ac:dyDescent="0.25">
      <c r="A556" s="2">
        <v>43952</v>
      </c>
      <c r="B556" s="3" t="s">
        <v>19</v>
      </c>
      <c r="E556" s="3">
        <v>15</v>
      </c>
      <c r="F556" s="3">
        <v>294</v>
      </c>
      <c r="G556" s="3">
        <v>225</v>
      </c>
      <c r="I556" s="3">
        <f t="shared" si="8"/>
        <v>18</v>
      </c>
    </row>
    <row r="557" spans="1:9" x14ac:dyDescent="0.25">
      <c r="A557" s="2">
        <v>43952</v>
      </c>
      <c r="B557" s="3" t="s">
        <v>15</v>
      </c>
      <c r="E557" s="3">
        <v>125</v>
      </c>
      <c r="F557" s="3">
        <v>20602</v>
      </c>
      <c r="G557" s="3">
        <v>18845</v>
      </c>
      <c r="I557" s="3">
        <f t="shared" si="8"/>
        <v>18</v>
      </c>
    </row>
    <row r="558" spans="1:9" x14ac:dyDescent="0.25">
      <c r="A558" s="2">
        <v>43952</v>
      </c>
      <c r="B558" s="3" t="s">
        <v>14</v>
      </c>
      <c r="E558" s="3">
        <v>129</v>
      </c>
      <c r="F558" s="3">
        <v>17002</v>
      </c>
      <c r="G558" s="3">
        <v>15570</v>
      </c>
      <c r="I558" s="3">
        <f t="shared" si="8"/>
        <v>18</v>
      </c>
    </row>
    <row r="559" spans="1:9" x14ac:dyDescent="0.25">
      <c r="A559" s="2">
        <v>43952</v>
      </c>
      <c r="B559" s="3" t="s">
        <v>12</v>
      </c>
      <c r="E559" s="3">
        <v>10</v>
      </c>
      <c r="F559" s="3">
        <v>554</v>
      </c>
      <c r="G559" s="3">
        <v>472</v>
      </c>
      <c r="I559" s="3">
        <f t="shared" si="8"/>
        <v>18</v>
      </c>
    </row>
    <row r="560" spans="1:9" x14ac:dyDescent="0.25">
      <c r="A560" s="2">
        <v>43953</v>
      </c>
      <c r="B560" s="3" t="s">
        <v>16</v>
      </c>
      <c r="E560" s="3">
        <v>36</v>
      </c>
      <c r="F560" s="3">
        <v>3442</v>
      </c>
      <c r="G560" s="3">
        <v>3147</v>
      </c>
      <c r="I560" s="3">
        <f t="shared" si="8"/>
        <v>18</v>
      </c>
    </row>
    <row r="561" spans="1:9" x14ac:dyDescent="0.25">
      <c r="A561" s="2">
        <v>43953</v>
      </c>
      <c r="B561" s="3" t="s">
        <v>11</v>
      </c>
      <c r="E561" s="3">
        <v>31</v>
      </c>
      <c r="F561" s="3">
        <v>4157</v>
      </c>
      <c r="G561" s="3">
        <v>3823</v>
      </c>
      <c r="I561" s="3">
        <f t="shared" si="8"/>
        <v>18</v>
      </c>
    </row>
    <row r="562" spans="1:9" x14ac:dyDescent="0.25">
      <c r="A562" s="2">
        <v>43953</v>
      </c>
      <c r="B562" s="3" t="s">
        <v>17</v>
      </c>
      <c r="E562" s="3">
        <v>20</v>
      </c>
      <c r="F562" s="3">
        <v>1613</v>
      </c>
      <c r="G562" s="3">
        <v>1457</v>
      </c>
      <c r="I562" s="3">
        <f t="shared" si="8"/>
        <v>18</v>
      </c>
    </row>
    <row r="563" spans="1:9" x14ac:dyDescent="0.25">
      <c r="A563" s="2">
        <v>43953</v>
      </c>
      <c r="B563" s="3" t="s">
        <v>10</v>
      </c>
      <c r="E563" s="3">
        <v>18</v>
      </c>
      <c r="F563" s="3">
        <v>1708</v>
      </c>
      <c r="G563" s="3">
        <v>1534</v>
      </c>
      <c r="I563" s="3">
        <f t="shared" si="8"/>
        <v>18</v>
      </c>
    </row>
    <row r="564" spans="1:9" x14ac:dyDescent="0.25">
      <c r="A564" s="2">
        <v>43953</v>
      </c>
      <c r="B564" s="3" t="s">
        <v>20</v>
      </c>
      <c r="E564" s="3">
        <v>19</v>
      </c>
      <c r="F564" s="3">
        <v>1206</v>
      </c>
      <c r="G564" s="3">
        <v>1080</v>
      </c>
      <c r="I564" s="3">
        <f t="shared" si="8"/>
        <v>18</v>
      </c>
    </row>
    <row r="565" spans="1:9" x14ac:dyDescent="0.25">
      <c r="A565" s="2">
        <v>43953</v>
      </c>
      <c r="B565" s="3" t="s">
        <v>22</v>
      </c>
      <c r="E565" s="3">
        <v>54</v>
      </c>
      <c r="F565" s="3">
        <v>11622</v>
      </c>
      <c r="G565" s="3">
        <v>10754</v>
      </c>
      <c r="I565" s="3">
        <f t="shared" si="8"/>
        <v>18</v>
      </c>
    </row>
    <row r="566" spans="1:9" x14ac:dyDescent="0.25">
      <c r="A566" s="2">
        <v>43953</v>
      </c>
      <c r="B566" s="3" t="s">
        <v>21</v>
      </c>
      <c r="E566" s="3">
        <v>59</v>
      </c>
      <c r="F566" s="3">
        <v>12429</v>
      </c>
      <c r="G566" s="3">
        <v>11477</v>
      </c>
      <c r="I566" s="3">
        <f t="shared" si="8"/>
        <v>18</v>
      </c>
    </row>
    <row r="567" spans="1:9" x14ac:dyDescent="0.25">
      <c r="A567" s="2">
        <v>43953</v>
      </c>
      <c r="B567" s="3" t="s">
        <v>13</v>
      </c>
      <c r="E567" s="3">
        <v>19</v>
      </c>
      <c r="F567" s="3">
        <v>1217</v>
      </c>
      <c r="G567" s="3">
        <v>1048</v>
      </c>
      <c r="I567" s="3">
        <f t="shared" si="8"/>
        <v>18</v>
      </c>
    </row>
    <row r="568" spans="1:9" x14ac:dyDescent="0.25">
      <c r="A568" s="2">
        <v>43953</v>
      </c>
      <c r="B568" s="3" t="s">
        <v>23</v>
      </c>
      <c r="E568" s="3">
        <v>15</v>
      </c>
      <c r="F568" s="3">
        <v>567</v>
      </c>
      <c r="G568" s="3">
        <v>493</v>
      </c>
      <c r="I568" s="3">
        <f t="shared" si="8"/>
        <v>18</v>
      </c>
    </row>
    <row r="569" spans="1:9" x14ac:dyDescent="0.25">
      <c r="A569" s="2">
        <v>43953</v>
      </c>
      <c r="B569" s="3" t="s">
        <v>18</v>
      </c>
      <c r="E569" s="3">
        <v>15</v>
      </c>
      <c r="F569" s="3">
        <v>751</v>
      </c>
      <c r="G569" s="3">
        <v>651</v>
      </c>
      <c r="I569" s="3">
        <f t="shared" si="8"/>
        <v>18</v>
      </c>
    </row>
    <row r="570" spans="1:9" x14ac:dyDescent="0.25">
      <c r="A570" s="2">
        <v>43953</v>
      </c>
      <c r="B570" s="3" t="s">
        <v>19</v>
      </c>
      <c r="E570" s="3">
        <v>15</v>
      </c>
      <c r="F570" s="3">
        <v>274</v>
      </c>
      <c r="G570" s="3">
        <v>203</v>
      </c>
      <c r="I570" s="3">
        <f t="shared" si="8"/>
        <v>18</v>
      </c>
    </row>
    <row r="571" spans="1:9" x14ac:dyDescent="0.25">
      <c r="A571" s="2">
        <v>43953</v>
      </c>
      <c r="B571" s="3" t="s">
        <v>15</v>
      </c>
      <c r="E571" s="3">
        <v>125</v>
      </c>
      <c r="F571" s="3">
        <v>16932</v>
      </c>
      <c r="G571" s="3">
        <v>15601</v>
      </c>
      <c r="I571" s="3">
        <f t="shared" si="8"/>
        <v>18</v>
      </c>
    </row>
    <row r="572" spans="1:9" x14ac:dyDescent="0.25">
      <c r="A572" s="2">
        <v>43953</v>
      </c>
      <c r="B572" s="3" t="s">
        <v>14</v>
      </c>
      <c r="E572" s="3">
        <v>129</v>
      </c>
      <c r="F572" s="3">
        <v>14009</v>
      </c>
      <c r="G572" s="3">
        <v>12920</v>
      </c>
      <c r="I572" s="3">
        <f t="shared" si="8"/>
        <v>18</v>
      </c>
    </row>
    <row r="573" spans="1:9" x14ac:dyDescent="0.25">
      <c r="A573" s="2">
        <v>43953</v>
      </c>
      <c r="B573" s="3" t="s">
        <v>12</v>
      </c>
      <c r="E573" s="3">
        <v>10</v>
      </c>
      <c r="F573" s="3">
        <v>416</v>
      </c>
      <c r="G573" s="3">
        <v>341</v>
      </c>
      <c r="I573" s="3">
        <f t="shared" si="8"/>
        <v>18</v>
      </c>
    </row>
    <row r="574" spans="1:9" x14ac:dyDescent="0.25">
      <c r="A574" s="2">
        <v>43954</v>
      </c>
      <c r="B574" s="3" t="s">
        <v>16</v>
      </c>
      <c r="E574" s="3">
        <v>36</v>
      </c>
      <c r="F574" s="3">
        <v>4751</v>
      </c>
      <c r="G574" s="3">
        <v>4370</v>
      </c>
      <c r="I574" s="3">
        <f t="shared" si="8"/>
        <v>18</v>
      </c>
    </row>
    <row r="575" spans="1:9" x14ac:dyDescent="0.25">
      <c r="A575" s="2">
        <v>43954</v>
      </c>
      <c r="B575" s="3" t="s">
        <v>11</v>
      </c>
      <c r="E575" s="3">
        <v>31</v>
      </c>
      <c r="F575" s="3">
        <v>5155</v>
      </c>
      <c r="G575" s="3">
        <v>4762</v>
      </c>
      <c r="I575" s="3">
        <f t="shared" si="8"/>
        <v>18</v>
      </c>
    </row>
    <row r="576" spans="1:9" x14ac:dyDescent="0.25">
      <c r="A576" s="2">
        <v>43954</v>
      </c>
      <c r="B576" s="3" t="s">
        <v>17</v>
      </c>
      <c r="E576" s="3">
        <v>20</v>
      </c>
      <c r="F576" s="3">
        <v>1716</v>
      </c>
      <c r="G576" s="3">
        <v>1561</v>
      </c>
      <c r="I576" s="3">
        <f t="shared" si="8"/>
        <v>18</v>
      </c>
    </row>
    <row r="577" spans="1:9" x14ac:dyDescent="0.25">
      <c r="A577" s="2">
        <v>43954</v>
      </c>
      <c r="B577" s="3" t="s">
        <v>10</v>
      </c>
      <c r="E577" s="3">
        <v>20</v>
      </c>
      <c r="F577" s="3">
        <v>1520</v>
      </c>
      <c r="G577" s="3">
        <v>1373</v>
      </c>
      <c r="I577" s="3">
        <f t="shared" si="8"/>
        <v>18</v>
      </c>
    </row>
    <row r="578" spans="1:9" x14ac:dyDescent="0.25">
      <c r="A578" s="2">
        <v>43954</v>
      </c>
      <c r="B578" s="3" t="s">
        <v>20</v>
      </c>
      <c r="E578" s="3">
        <v>19</v>
      </c>
      <c r="F578" s="3">
        <v>1314</v>
      </c>
      <c r="G578" s="3">
        <v>1192</v>
      </c>
      <c r="I578" s="3">
        <f t="shared" si="8"/>
        <v>18</v>
      </c>
    </row>
    <row r="579" spans="1:9" x14ac:dyDescent="0.25">
      <c r="A579" s="2">
        <v>43954</v>
      </c>
      <c r="B579" s="3" t="s">
        <v>22</v>
      </c>
      <c r="E579" s="3">
        <v>54</v>
      </c>
      <c r="F579" s="3">
        <v>14823</v>
      </c>
      <c r="G579" s="3">
        <v>13751</v>
      </c>
      <c r="I579" s="3">
        <f t="shared" ref="I579:I642" si="9">WEEKNUM(A579,2)</f>
        <v>18</v>
      </c>
    </row>
    <row r="580" spans="1:9" x14ac:dyDescent="0.25">
      <c r="A580" s="2">
        <v>43954</v>
      </c>
      <c r="B580" s="3" t="s">
        <v>21</v>
      </c>
      <c r="E580" s="3">
        <v>59</v>
      </c>
      <c r="F580" s="3">
        <v>15277</v>
      </c>
      <c r="G580" s="3">
        <v>14163</v>
      </c>
      <c r="I580" s="3">
        <f t="shared" si="9"/>
        <v>18</v>
      </c>
    </row>
    <row r="581" spans="1:9" x14ac:dyDescent="0.25">
      <c r="A581" s="2">
        <v>43954</v>
      </c>
      <c r="B581" s="3" t="s">
        <v>13</v>
      </c>
      <c r="E581" s="3">
        <v>19</v>
      </c>
      <c r="F581" s="3">
        <v>1402</v>
      </c>
      <c r="G581" s="3">
        <v>1234</v>
      </c>
      <c r="I581" s="3">
        <f t="shared" si="9"/>
        <v>18</v>
      </c>
    </row>
    <row r="582" spans="1:9" x14ac:dyDescent="0.25">
      <c r="A582" s="2">
        <v>43954</v>
      </c>
      <c r="B582" s="3" t="s">
        <v>23</v>
      </c>
      <c r="E582" s="3">
        <v>15</v>
      </c>
      <c r="F582" s="3">
        <v>585</v>
      </c>
      <c r="G582" s="3">
        <v>502</v>
      </c>
      <c r="I582" s="3">
        <f t="shared" si="9"/>
        <v>18</v>
      </c>
    </row>
    <row r="583" spans="1:9" x14ac:dyDescent="0.25">
      <c r="A583" s="2">
        <v>43954</v>
      </c>
      <c r="B583" s="3" t="s">
        <v>18</v>
      </c>
      <c r="E583" s="3">
        <v>15</v>
      </c>
      <c r="F583" s="3">
        <v>784</v>
      </c>
      <c r="G583" s="3">
        <v>696</v>
      </c>
      <c r="I583" s="3">
        <f t="shared" si="9"/>
        <v>18</v>
      </c>
    </row>
    <row r="584" spans="1:9" x14ac:dyDescent="0.25">
      <c r="A584" s="2">
        <v>43954</v>
      </c>
      <c r="B584" s="3" t="s">
        <v>19</v>
      </c>
      <c r="E584" s="3">
        <v>15</v>
      </c>
      <c r="F584" s="3">
        <v>455</v>
      </c>
      <c r="G584" s="3">
        <v>384</v>
      </c>
      <c r="I584" s="3">
        <f t="shared" si="9"/>
        <v>18</v>
      </c>
    </row>
    <row r="585" spans="1:9" x14ac:dyDescent="0.25">
      <c r="A585" s="2">
        <v>43954</v>
      </c>
      <c r="B585" s="3" t="s">
        <v>15</v>
      </c>
      <c r="E585" s="3">
        <v>125</v>
      </c>
      <c r="F585" s="3">
        <v>18861</v>
      </c>
      <c r="G585" s="3">
        <v>17420</v>
      </c>
      <c r="I585" s="3">
        <f t="shared" si="9"/>
        <v>18</v>
      </c>
    </row>
    <row r="586" spans="1:9" x14ac:dyDescent="0.25">
      <c r="A586" s="2">
        <v>43954</v>
      </c>
      <c r="B586" s="3" t="s">
        <v>14</v>
      </c>
      <c r="E586" s="3">
        <v>129</v>
      </c>
      <c r="F586" s="3">
        <v>15778</v>
      </c>
      <c r="G586" s="3">
        <v>14624</v>
      </c>
      <c r="I586" s="3">
        <f t="shared" si="9"/>
        <v>18</v>
      </c>
    </row>
    <row r="587" spans="1:9" x14ac:dyDescent="0.25">
      <c r="A587" s="2">
        <v>43954</v>
      </c>
      <c r="B587" s="3" t="s">
        <v>12</v>
      </c>
      <c r="E587" s="3">
        <v>10</v>
      </c>
      <c r="F587" s="3">
        <v>402</v>
      </c>
      <c r="G587" s="3">
        <v>333</v>
      </c>
      <c r="I587" s="3">
        <f t="shared" si="9"/>
        <v>18</v>
      </c>
    </row>
    <row r="588" spans="1:9" x14ac:dyDescent="0.25">
      <c r="A588" s="2">
        <v>43955</v>
      </c>
      <c r="B588" s="3" t="s">
        <v>16</v>
      </c>
      <c r="E588" s="3">
        <v>36</v>
      </c>
      <c r="F588" s="3">
        <v>4508</v>
      </c>
      <c r="G588" s="3">
        <v>4149</v>
      </c>
      <c r="I588" s="3">
        <f t="shared" si="9"/>
        <v>19</v>
      </c>
    </row>
    <row r="589" spans="1:9" x14ac:dyDescent="0.25">
      <c r="A589" s="2">
        <v>43955</v>
      </c>
      <c r="B589" s="3" t="s">
        <v>11</v>
      </c>
      <c r="E589" s="3">
        <v>31</v>
      </c>
      <c r="F589" s="3">
        <v>4968</v>
      </c>
      <c r="G589" s="3">
        <v>4596</v>
      </c>
      <c r="I589" s="3">
        <f t="shared" si="9"/>
        <v>19</v>
      </c>
    </row>
    <row r="590" spans="1:9" x14ac:dyDescent="0.25">
      <c r="A590" s="2">
        <v>43955</v>
      </c>
      <c r="B590" s="3" t="s">
        <v>17</v>
      </c>
      <c r="E590" s="3">
        <v>20</v>
      </c>
      <c r="F590" s="3">
        <v>1804</v>
      </c>
      <c r="G590" s="3">
        <v>1638</v>
      </c>
      <c r="I590" s="3">
        <f t="shared" si="9"/>
        <v>19</v>
      </c>
    </row>
    <row r="591" spans="1:9" x14ac:dyDescent="0.25">
      <c r="A591" s="2">
        <v>43955</v>
      </c>
      <c r="B591" s="3" t="s">
        <v>10</v>
      </c>
      <c r="E591" s="3">
        <v>20</v>
      </c>
      <c r="F591" s="3">
        <v>1519</v>
      </c>
      <c r="G591" s="3">
        <v>1372</v>
      </c>
      <c r="I591" s="3">
        <f t="shared" si="9"/>
        <v>19</v>
      </c>
    </row>
    <row r="592" spans="1:9" x14ac:dyDescent="0.25">
      <c r="A592" s="2">
        <v>43955</v>
      </c>
      <c r="B592" s="3" t="s">
        <v>20</v>
      </c>
      <c r="E592" s="3">
        <v>19</v>
      </c>
      <c r="F592" s="3">
        <v>1479</v>
      </c>
      <c r="G592" s="3">
        <v>1346</v>
      </c>
      <c r="I592" s="3">
        <f t="shared" si="9"/>
        <v>19</v>
      </c>
    </row>
    <row r="593" spans="1:9" x14ac:dyDescent="0.25">
      <c r="A593" s="2">
        <v>43955</v>
      </c>
      <c r="B593" s="3" t="s">
        <v>22</v>
      </c>
      <c r="E593" s="3">
        <v>54</v>
      </c>
      <c r="F593" s="3">
        <v>13606</v>
      </c>
      <c r="G593" s="3">
        <v>12697</v>
      </c>
      <c r="I593" s="3">
        <f t="shared" si="9"/>
        <v>19</v>
      </c>
    </row>
    <row r="594" spans="1:9" x14ac:dyDescent="0.25">
      <c r="A594" s="2">
        <v>43955</v>
      </c>
      <c r="B594" s="3" t="s">
        <v>21</v>
      </c>
      <c r="E594" s="3">
        <v>59</v>
      </c>
      <c r="F594" s="3">
        <v>14423</v>
      </c>
      <c r="G594" s="3">
        <v>13432</v>
      </c>
      <c r="I594" s="3">
        <f t="shared" si="9"/>
        <v>19</v>
      </c>
    </row>
    <row r="595" spans="1:9" x14ac:dyDescent="0.25">
      <c r="A595" s="2">
        <v>43955</v>
      </c>
      <c r="B595" s="3" t="s">
        <v>13</v>
      </c>
      <c r="E595" s="3">
        <v>19</v>
      </c>
      <c r="F595" s="3">
        <v>1582</v>
      </c>
      <c r="G595" s="3">
        <v>1403</v>
      </c>
      <c r="I595" s="3">
        <f t="shared" si="9"/>
        <v>19</v>
      </c>
    </row>
    <row r="596" spans="1:9" x14ac:dyDescent="0.25">
      <c r="A596" s="2">
        <v>43955</v>
      </c>
      <c r="B596" s="3" t="s">
        <v>23</v>
      </c>
      <c r="E596" s="3">
        <v>15</v>
      </c>
      <c r="F596" s="3">
        <v>622</v>
      </c>
      <c r="G596" s="3">
        <v>538</v>
      </c>
      <c r="I596" s="3">
        <f t="shared" si="9"/>
        <v>19</v>
      </c>
    </row>
    <row r="597" spans="1:9" x14ac:dyDescent="0.25">
      <c r="A597" s="2">
        <v>43955</v>
      </c>
      <c r="B597" s="3" t="s">
        <v>18</v>
      </c>
      <c r="E597" s="3">
        <v>15</v>
      </c>
      <c r="F597" s="3">
        <v>750</v>
      </c>
      <c r="G597" s="3">
        <v>647</v>
      </c>
      <c r="I597" s="3">
        <f t="shared" si="9"/>
        <v>19</v>
      </c>
    </row>
    <row r="598" spans="1:9" x14ac:dyDescent="0.25">
      <c r="A598" s="2">
        <v>43955</v>
      </c>
      <c r="B598" s="3" t="s">
        <v>19</v>
      </c>
      <c r="E598" s="3">
        <v>15</v>
      </c>
      <c r="F598" s="3">
        <v>390</v>
      </c>
      <c r="G598" s="3">
        <v>315</v>
      </c>
      <c r="I598" s="3">
        <f t="shared" si="9"/>
        <v>19</v>
      </c>
    </row>
    <row r="599" spans="1:9" x14ac:dyDescent="0.25">
      <c r="A599" s="2">
        <v>43955</v>
      </c>
      <c r="B599" s="3" t="s">
        <v>15</v>
      </c>
      <c r="E599" s="3">
        <v>125</v>
      </c>
      <c r="F599" s="3">
        <v>20495</v>
      </c>
      <c r="G599" s="3">
        <v>18964</v>
      </c>
      <c r="I599" s="3">
        <f t="shared" si="9"/>
        <v>19</v>
      </c>
    </row>
    <row r="600" spans="1:9" x14ac:dyDescent="0.25">
      <c r="A600" s="2">
        <v>43955</v>
      </c>
      <c r="B600" s="3" t="s">
        <v>14</v>
      </c>
      <c r="E600" s="3">
        <v>129</v>
      </c>
      <c r="F600" s="3">
        <v>16525</v>
      </c>
      <c r="G600" s="3">
        <v>15310</v>
      </c>
      <c r="I600" s="3">
        <f t="shared" si="9"/>
        <v>19</v>
      </c>
    </row>
    <row r="601" spans="1:9" x14ac:dyDescent="0.25">
      <c r="A601" s="2">
        <v>43955</v>
      </c>
      <c r="B601" s="3" t="s">
        <v>12</v>
      </c>
      <c r="E601" s="3">
        <v>10</v>
      </c>
      <c r="F601" s="3">
        <v>462</v>
      </c>
      <c r="G601" s="3">
        <v>396</v>
      </c>
      <c r="I601" s="3">
        <f t="shared" si="9"/>
        <v>19</v>
      </c>
    </row>
    <row r="602" spans="1:9" x14ac:dyDescent="0.25">
      <c r="A602" s="2">
        <v>43956</v>
      </c>
      <c r="B602" s="3" t="s">
        <v>16</v>
      </c>
      <c r="E602" s="3">
        <v>36</v>
      </c>
      <c r="F602" s="3">
        <v>4575</v>
      </c>
      <c r="G602" s="3">
        <v>4206</v>
      </c>
      <c r="I602" s="3">
        <f t="shared" si="9"/>
        <v>19</v>
      </c>
    </row>
    <row r="603" spans="1:9" x14ac:dyDescent="0.25">
      <c r="A603" s="2">
        <v>43956</v>
      </c>
      <c r="B603" s="3" t="s">
        <v>11</v>
      </c>
      <c r="E603" s="3">
        <v>31</v>
      </c>
      <c r="F603" s="3">
        <v>5188</v>
      </c>
      <c r="G603" s="3">
        <v>4800</v>
      </c>
      <c r="I603" s="3">
        <f t="shared" si="9"/>
        <v>19</v>
      </c>
    </row>
    <row r="604" spans="1:9" x14ac:dyDescent="0.25">
      <c r="A604" s="2">
        <v>43956</v>
      </c>
      <c r="B604" s="3" t="s">
        <v>17</v>
      </c>
      <c r="E604" s="3">
        <v>20</v>
      </c>
      <c r="F604" s="3">
        <v>1757</v>
      </c>
      <c r="G604" s="3">
        <v>1596</v>
      </c>
      <c r="I604" s="3">
        <f t="shared" si="9"/>
        <v>19</v>
      </c>
    </row>
    <row r="605" spans="1:9" x14ac:dyDescent="0.25">
      <c r="A605" s="2">
        <v>43956</v>
      </c>
      <c r="B605" s="3" t="s">
        <v>10</v>
      </c>
      <c r="E605" s="3">
        <v>20</v>
      </c>
      <c r="F605" s="3">
        <v>1773</v>
      </c>
      <c r="G605" s="3">
        <v>1604</v>
      </c>
      <c r="I605" s="3">
        <f t="shared" si="9"/>
        <v>19</v>
      </c>
    </row>
    <row r="606" spans="1:9" x14ac:dyDescent="0.25">
      <c r="A606" s="2">
        <v>43956</v>
      </c>
      <c r="B606" s="3" t="s">
        <v>20</v>
      </c>
      <c r="E606" s="3">
        <v>19</v>
      </c>
      <c r="F606" s="3">
        <v>1622</v>
      </c>
      <c r="G606" s="3">
        <v>1482</v>
      </c>
      <c r="I606" s="3">
        <f t="shared" si="9"/>
        <v>19</v>
      </c>
    </row>
    <row r="607" spans="1:9" x14ac:dyDescent="0.25">
      <c r="A607" s="2">
        <v>43956</v>
      </c>
      <c r="B607" s="3" t="s">
        <v>22</v>
      </c>
      <c r="E607" s="3">
        <v>54</v>
      </c>
      <c r="F607" s="3">
        <v>12775</v>
      </c>
      <c r="G607" s="3">
        <v>11887</v>
      </c>
      <c r="I607" s="3">
        <f t="shared" si="9"/>
        <v>19</v>
      </c>
    </row>
    <row r="608" spans="1:9" x14ac:dyDescent="0.25">
      <c r="A608" s="2">
        <v>43956</v>
      </c>
      <c r="B608" s="3" t="s">
        <v>21</v>
      </c>
      <c r="E608" s="3">
        <v>59</v>
      </c>
      <c r="F608" s="3">
        <v>13469</v>
      </c>
      <c r="G608" s="3">
        <v>12486</v>
      </c>
      <c r="I608" s="3">
        <f t="shared" si="9"/>
        <v>19</v>
      </c>
    </row>
    <row r="609" spans="1:9" x14ac:dyDescent="0.25">
      <c r="A609" s="2">
        <v>43956</v>
      </c>
      <c r="B609" s="3" t="s">
        <v>13</v>
      </c>
      <c r="E609" s="3">
        <v>19</v>
      </c>
      <c r="F609" s="3">
        <v>1417</v>
      </c>
      <c r="G609" s="3">
        <v>1245</v>
      </c>
      <c r="I609" s="3">
        <f t="shared" si="9"/>
        <v>19</v>
      </c>
    </row>
    <row r="610" spans="1:9" x14ac:dyDescent="0.25">
      <c r="A610" s="2">
        <v>43956</v>
      </c>
      <c r="B610" s="3" t="s">
        <v>23</v>
      </c>
      <c r="E610" s="3">
        <v>15</v>
      </c>
      <c r="F610" s="3">
        <v>750</v>
      </c>
      <c r="G610" s="3">
        <v>658</v>
      </c>
      <c r="I610" s="3">
        <f t="shared" si="9"/>
        <v>19</v>
      </c>
    </row>
    <row r="611" spans="1:9" x14ac:dyDescent="0.25">
      <c r="A611" s="2">
        <v>43956</v>
      </c>
      <c r="B611" s="3" t="s">
        <v>18</v>
      </c>
      <c r="E611" s="3">
        <v>15</v>
      </c>
      <c r="F611" s="3">
        <v>922</v>
      </c>
      <c r="G611" s="3">
        <v>823</v>
      </c>
      <c r="I611" s="3">
        <f t="shared" si="9"/>
        <v>19</v>
      </c>
    </row>
    <row r="612" spans="1:9" x14ac:dyDescent="0.25">
      <c r="A612" s="2">
        <v>43956</v>
      </c>
      <c r="B612" s="3" t="s">
        <v>19</v>
      </c>
      <c r="E612" s="3">
        <v>15</v>
      </c>
      <c r="F612" s="3">
        <v>455</v>
      </c>
      <c r="G612" s="3">
        <v>381</v>
      </c>
      <c r="I612" s="3">
        <f t="shared" si="9"/>
        <v>19</v>
      </c>
    </row>
    <row r="613" spans="1:9" x14ac:dyDescent="0.25">
      <c r="A613" s="2">
        <v>43956</v>
      </c>
      <c r="B613" s="3" t="s">
        <v>15</v>
      </c>
      <c r="E613" s="3">
        <v>125</v>
      </c>
      <c r="F613" s="3">
        <v>18944</v>
      </c>
      <c r="G613" s="3">
        <v>17541</v>
      </c>
      <c r="I613" s="3">
        <f t="shared" si="9"/>
        <v>19</v>
      </c>
    </row>
    <row r="614" spans="1:9" x14ac:dyDescent="0.25">
      <c r="A614" s="2">
        <v>43956</v>
      </c>
      <c r="B614" s="3" t="s">
        <v>14</v>
      </c>
      <c r="E614" s="3">
        <v>129</v>
      </c>
      <c r="F614" s="3">
        <v>15665</v>
      </c>
      <c r="G614" s="3">
        <v>14501</v>
      </c>
      <c r="I614" s="3">
        <f t="shared" si="9"/>
        <v>19</v>
      </c>
    </row>
    <row r="615" spans="1:9" x14ac:dyDescent="0.25">
      <c r="A615" s="2">
        <v>43956</v>
      </c>
      <c r="B615" s="3" t="s">
        <v>12</v>
      </c>
      <c r="E615" s="3">
        <v>10</v>
      </c>
      <c r="F615" s="3">
        <v>511</v>
      </c>
      <c r="G615" s="3">
        <v>437</v>
      </c>
      <c r="I615" s="3">
        <f t="shared" si="9"/>
        <v>19</v>
      </c>
    </row>
    <row r="616" spans="1:9" x14ac:dyDescent="0.25">
      <c r="A616" s="2">
        <v>43957</v>
      </c>
      <c r="B616" s="3" t="s">
        <v>16</v>
      </c>
      <c r="E616" s="3">
        <v>36</v>
      </c>
      <c r="F616" s="3">
        <v>4384</v>
      </c>
      <c r="G616" s="3">
        <v>4025</v>
      </c>
      <c r="I616" s="3">
        <f t="shared" si="9"/>
        <v>19</v>
      </c>
    </row>
    <row r="617" spans="1:9" x14ac:dyDescent="0.25">
      <c r="A617" s="2">
        <v>43957</v>
      </c>
      <c r="B617" s="3" t="s">
        <v>11</v>
      </c>
      <c r="E617" s="3">
        <v>31</v>
      </c>
      <c r="F617" s="3">
        <v>4709</v>
      </c>
      <c r="G617" s="3">
        <v>4348</v>
      </c>
      <c r="I617" s="3">
        <f t="shared" si="9"/>
        <v>19</v>
      </c>
    </row>
    <row r="618" spans="1:9" x14ac:dyDescent="0.25">
      <c r="A618" s="2">
        <v>43957</v>
      </c>
      <c r="B618" s="3" t="s">
        <v>17</v>
      </c>
      <c r="E618" s="3">
        <v>20</v>
      </c>
      <c r="F618" s="3">
        <v>1747</v>
      </c>
      <c r="G618" s="3">
        <v>1570</v>
      </c>
      <c r="I618" s="3">
        <f t="shared" si="9"/>
        <v>19</v>
      </c>
    </row>
    <row r="619" spans="1:9" x14ac:dyDescent="0.25">
      <c r="A619" s="2">
        <v>43957</v>
      </c>
      <c r="B619" s="3" t="s">
        <v>10</v>
      </c>
      <c r="E619" s="3">
        <v>20</v>
      </c>
      <c r="F619" s="3">
        <v>1784</v>
      </c>
      <c r="G619" s="3">
        <v>1632</v>
      </c>
      <c r="I619" s="3">
        <f t="shared" si="9"/>
        <v>19</v>
      </c>
    </row>
    <row r="620" spans="1:9" x14ac:dyDescent="0.25">
      <c r="A620" s="2">
        <v>43957</v>
      </c>
      <c r="B620" s="3" t="s">
        <v>20</v>
      </c>
      <c r="E620" s="3">
        <v>19</v>
      </c>
      <c r="F620" s="3">
        <v>1509</v>
      </c>
      <c r="G620" s="3">
        <v>1374</v>
      </c>
      <c r="I620" s="3">
        <f t="shared" si="9"/>
        <v>19</v>
      </c>
    </row>
    <row r="621" spans="1:9" x14ac:dyDescent="0.25">
      <c r="A621" s="2">
        <v>43957</v>
      </c>
      <c r="B621" s="3" t="s">
        <v>22</v>
      </c>
      <c r="E621" s="3">
        <v>54</v>
      </c>
      <c r="F621" s="3">
        <v>13406</v>
      </c>
      <c r="G621" s="3">
        <v>12518</v>
      </c>
      <c r="I621" s="3">
        <f t="shared" si="9"/>
        <v>19</v>
      </c>
    </row>
    <row r="622" spans="1:9" x14ac:dyDescent="0.25">
      <c r="A622" s="2">
        <v>43957</v>
      </c>
      <c r="B622" s="3" t="s">
        <v>21</v>
      </c>
      <c r="E622" s="3">
        <v>59</v>
      </c>
      <c r="F622" s="3">
        <v>14103</v>
      </c>
      <c r="G622" s="3">
        <v>13118</v>
      </c>
      <c r="I622" s="3">
        <f t="shared" si="9"/>
        <v>19</v>
      </c>
    </row>
    <row r="623" spans="1:9" x14ac:dyDescent="0.25">
      <c r="A623" s="2">
        <v>43957</v>
      </c>
      <c r="B623" s="3" t="s">
        <v>13</v>
      </c>
      <c r="E623" s="3">
        <v>19</v>
      </c>
      <c r="F623" s="3">
        <v>1499</v>
      </c>
      <c r="G623" s="3">
        <v>1323</v>
      </c>
      <c r="I623" s="3">
        <f t="shared" si="9"/>
        <v>19</v>
      </c>
    </row>
    <row r="624" spans="1:9" x14ac:dyDescent="0.25">
      <c r="A624" s="2">
        <v>43957</v>
      </c>
      <c r="B624" s="3" t="s">
        <v>23</v>
      </c>
      <c r="E624" s="3">
        <v>15</v>
      </c>
      <c r="F624" s="3">
        <v>701</v>
      </c>
      <c r="G624" s="3">
        <v>611</v>
      </c>
      <c r="I624" s="3">
        <f t="shared" si="9"/>
        <v>19</v>
      </c>
    </row>
    <row r="625" spans="1:9" x14ac:dyDescent="0.25">
      <c r="A625" s="2">
        <v>43957</v>
      </c>
      <c r="B625" s="3" t="s">
        <v>18</v>
      </c>
      <c r="E625" s="3">
        <v>15</v>
      </c>
      <c r="F625" s="3">
        <v>839</v>
      </c>
      <c r="G625" s="3">
        <v>733</v>
      </c>
      <c r="I625" s="3">
        <f t="shared" si="9"/>
        <v>19</v>
      </c>
    </row>
    <row r="626" spans="1:9" x14ac:dyDescent="0.25">
      <c r="A626" s="2">
        <v>43957</v>
      </c>
      <c r="B626" s="3" t="s">
        <v>19</v>
      </c>
      <c r="E626" s="3">
        <v>15</v>
      </c>
      <c r="F626" s="3">
        <v>467</v>
      </c>
      <c r="G626" s="3">
        <v>389</v>
      </c>
      <c r="I626" s="3">
        <f t="shared" si="9"/>
        <v>19</v>
      </c>
    </row>
    <row r="627" spans="1:9" x14ac:dyDescent="0.25">
      <c r="A627" s="2">
        <v>43957</v>
      </c>
      <c r="B627" s="3" t="s">
        <v>15</v>
      </c>
      <c r="E627" s="3">
        <v>125</v>
      </c>
      <c r="F627" s="3">
        <v>20218</v>
      </c>
      <c r="G627" s="3">
        <v>18647</v>
      </c>
      <c r="I627" s="3">
        <f t="shared" si="9"/>
        <v>19</v>
      </c>
    </row>
    <row r="628" spans="1:9" x14ac:dyDescent="0.25">
      <c r="A628" s="2">
        <v>43957</v>
      </c>
      <c r="B628" s="3" t="s">
        <v>14</v>
      </c>
      <c r="E628" s="3">
        <v>129</v>
      </c>
      <c r="F628" s="3">
        <v>16376</v>
      </c>
      <c r="G628" s="3">
        <v>15197</v>
      </c>
      <c r="I628" s="3">
        <f t="shared" si="9"/>
        <v>19</v>
      </c>
    </row>
    <row r="629" spans="1:9" x14ac:dyDescent="0.25">
      <c r="A629" s="2">
        <v>43957</v>
      </c>
      <c r="B629" s="3" t="s">
        <v>12</v>
      </c>
      <c r="E629" s="3">
        <v>10</v>
      </c>
      <c r="F629" s="3">
        <v>465</v>
      </c>
      <c r="G629" s="3">
        <v>390</v>
      </c>
      <c r="I629" s="3">
        <f t="shared" si="9"/>
        <v>19</v>
      </c>
    </row>
    <row r="630" spans="1:9" x14ac:dyDescent="0.25">
      <c r="A630" s="2">
        <v>43958</v>
      </c>
      <c r="B630" s="3" t="s">
        <v>16</v>
      </c>
      <c r="E630" s="3">
        <v>36</v>
      </c>
      <c r="F630" s="3">
        <v>4826</v>
      </c>
      <c r="G630" s="3">
        <v>4426</v>
      </c>
      <c r="I630" s="3">
        <f t="shared" si="9"/>
        <v>19</v>
      </c>
    </row>
    <row r="631" spans="1:9" x14ac:dyDescent="0.25">
      <c r="A631" s="2">
        <v>43958</v>
      </c>
      <c r="B631" s="3" t="s">
        <v>11</v>
      </c>
      <c r="E631" s="3">
        <v>31</v>
      </c>
      <c r="F631" s="3">
        <v>4903</v>
      </c>
      <c r="G631" s="3">
        <v>4527</v>
      </c>
      <c r="I631" s="3">
        <f t="shared" si="9"/>
        <v>19</v>
      </c>
    </row>
    <row r="632" spans="1:9" x14ac:dyDescent="0.25">
      <c r="A632" s="2">
        <v>43958</v>
      </c>
      <c r="B632" s="3" t="s">
        <v>17</v>
      </c>
      <c r="E632" s="3">
        <v>21</v>
      </c>
      <c r="F632" s="3">
        <v>1879</v>
      </c>
      <c r="G632" s="3">
        <v>1695</v>
      </c>
      <c r="I632" s="3">
        <f t="shared" si="9"/>
        <v>19</v>
      </c>
    </row>
    <row r="633" spans="1:9" x14ac:dyDescent="0.25">
      <c r="A633" s="2">
        <v>43958</v>
      </c>
      <c r="B633" s="3" t="s">
        <v>10</v>
      </c>
      <c r="E633" s="3">
        <v>21</v>
      </c>
      <c r="F633" s="3">
        <v>1542</v>
      </c>
      <c r="G633" s="3">
        <v>1405</v>
      </c>
      <c r="I633" s="3">
        <f t="shared" si="9"/>
        <v>19</v>
      </c>
    </row>
    <row r="634" spans="1:9" x14ac:dyDescent="0.25">
      <c r="A634" s="2">
        <v>43958</v>
      </c>
      <c r="B634" s="3" t="s">
        <v>20</v>
      </c>
      <c r="E634" s="3">
        <v>19</v>
      </c>
      <c r="F634" s="3">
        <v>1580</v>
      </c>
      <c r="G634" s="3">
        <v>1435</v>
      </c>
      <c r="I634" s="3">
        <f t="shared" si="9"/>
        <v>19</v>
      </c>
    </row>
    <row r="635" spans="1:9" x14ac:dyDescent="0.25">
      <c r="A635" s="2">
        <v>43958</v>
      </c>
      <c r="B635" s="3" t="s">
        <v>22</v>
      </c>
      <c r="E635" s="3">
        <v>54</v>
      </c>
      <c r="F635" s="3">
        <v>12743</v>
      </c>
      <c r="G635" s="3">
        <v>11858</v>
      </c>
      <c r="I635" s="3">
        <f t="shared" si="9"/>
        <v>19</v>
      </c>
    </row>
    <row r="636" spans="1:9" x14ac:dyDescent="0.25">
      <c r="A636" s="2">
        <v>43958</v>
      </c>
      <c r="B636" s="3" t="s">
        <v>21</v>
      </c>
      <c r="E636" s="3">
        <v>59</v>
      </c>
      <c r="F636" s="3">
        <v>13495</v>
      </c>
      <c r="G636" s="3">
        <v>12517</v>
      </c>
      <c r="I636" s="3">
        <f t="shared" si="9"/>
        <v>19</v>
      </c>
    </row>
    <row r="637" spans="1:9" x14ac:dyDescent="0.25">
      <c r="A637" s="2">
        <v>43958</v>
      </c>
      <c r="B637" s="3" t="s">
        <v>13</v>
      </c>
      <c r="E637" s="3">
        <v>19</v>
      </c>
      <c r="F637" s="3">
        <v>1530</v>
      </c>
      <c r="G637" s="3">
        <v>1338</v>
      </c>
      <c r="I637" s="3">
        <f t="shared" si="9"/>
        <v>19</v>
      </c>
    </row>
    <row r="638" spans="1:9" x14ac:dyDescent="0.25">
      <c r="A638" s="2">
        <v>43958</v>
      </c>
      <c r="B638" s="3" t="s">
        <v>23</v>
      </c>
      <c r="E638" s="3">
        <v>15</v>
      </c>
      <c r="F638" s="3">
        <v>676</v>
      </c>
      <c r="G638" s="3">
        <v>591</v>
      </c>
      <c r="I638" s="3">
        <f t="shared" si="9"/>
        <v>19</v>
      </c>
    </row>
    <row r="639" spans="1:9" x14ac:dyDescent="0.25">
      <c r="A639" s="2">
        <v>43958</v>
      </c>
      <c r="B639" s="3" t="s">
        <v>18</v>
      </c>
      <c r="E639" s="3">
        <v>15</v>
      </c>
      <c r="F639" s="3">
        <v>805</v>
      </c>
      <c r="G639" s="3">
        <v>703</v>
      </c>
      <c r="I639" s="3">
        <f t="shared" si="9"/>
        <v>19</v>
      </c>
    </row>
    <row r="640" spans="1:9" x14ac:dyDescent="0.25">
      <c r="A640" s="2">
        <v>43958</v>
      </c>
      <c r="B640" s="3" t="s">
        <v>19</v>
      </c>
      <c r="E640" s="3">
        <v>15</v>
      </c>
      <c r="F640" s="3">
        <v>480</v>
      </c>
      <c r="G640" s="3">
        <v>398</v>
      </c>
      <c r="I640" s="3">
        <f t="shared" si="9"/>
        <v>19</v>
      </c>
    </row>
    <row r="641" spans="1:9" x14ac:dyDescent="0.25">
      <c r="A641" s="2">
        <v>43958</v>
      </c>
      <c r="B641" s="3" t="s">
        <v>15</v>
      </c>
      <c r="E641" s="3">
        <v>125</v>
      </c>
      <c r="F641" s="3">
        <v>18014</v>
      </c>
      <c r="G641" s="3">
        <v>16675</v>
      </c>
      <c r="I641" s="3">
        <f t="shared" si="9"/>
        <v>19</v>
      </c>
    </row>
    <row r="642" spans="1:9" x14ac:dyDescent="0.25">
      <c r="A642" s="2">
        <v>43958</v>
      </c>
      <c r="B642" s="3" t="s">
        <v>14</v>
      </c>
      <c r="E642" s="3">
        <v>129</v>
      </c>
      <c r="F642" s="3">
        <v>14582</v>
      </c>
      <c r="G642" s="3">
        <v>13512</v>
      </c>
      <c r="I642" s="3">
        <f t="shared" si="9"/>
        <v>19</v>
      </c>
    </row>
    <row r="643" spans="1:9" x14ac:dyDescent="0.25">
      <c r="A643" s="2">
        <v>43958</v>
      </c>
      <c r="B643" s="3" t="s">
        <v>12</v>
      </c>
      <c r="E643" s="3">
        <v>10</v>
      </c>
      <c r="F643" s="3">
        <v>563</v>
      </c>
      <c r="G643" s="3">
        <v>486</v>
      </c>
      <c r="I643" s="3">
        <f t="shared" ref="I643:I706" si="10">WEEKNUM(A643,2)</f>
        <v>19</v>
      </c>
    </row>
    <row r="644" spans="1:9" x14ac:dyDescent="0.25">
      <c r="A644" s="2">
        <v>43959</v>
      </c>
      <c r="B644" s="3" t="s">
        <v>16</v>
      </c>
      <c r="E644" s="3">
        <v>36</v>
      </c>
      <c r="F644" s="3">
        <v>4199</v>
      </c>
      <c r="G644" s="3">
        <v>3867</v>
      </c>
      <c r="I644" s="3">
        <f t="shared" si="10"/>
        <v>19</v>
      </c>
    </row>
    <row r="645" spans="1:9" x14ac:dyDescent="0.25">
      <c r="A645" s="2">
        <v>43959</v>
      </c>
      <c r="B645" s="3" t="s">
        <v>11</v>
      </c>
      <c r="E645" s="3">
        <v>31</v>
      </c>
      <c r="F645" s="3">
        <v>4635</v>
      </c>
      <c r="G645" s="3">
        <v>4266</v>
      </c>
      <c r="I645" s="3">
        <f t="shared" si="10"/>
        <v>19</v>
      </c>
    </row>
    <row r="646" spans="1:9" x14ac:dyDescent="0.25">
      <c r="A646" s="2">
        <v>43959</v>
      </c>
      <c r="B646" s="3" t="s">
        <v>17</v>
      </c>
      <c r="E646" s="3">
        <v>21</v>
      </c>
      <c r="F646" s="3">
        <v>1957</v>
      </c>
      <c r="G646" s="3">
        <v>1755</v>
      </c>
      <c r="I646" s="3">
        <f t="shared" si="10"/>
        <v>19</v>
      </c>
    </row>
    <row r="647" spans="1:9" x14ac:dyDescent="0.25">
      <c r="A647" s="2">
        <v>43959</v>
      </c>
      <c r="B647" s="3" t="s">
        <v>10</v>
      </c>
      <c r="E647" s="3">
        <v>21</v>
      </c>
      <c r="F647" s="3">
        <v>1646</v>
      </c>
      <c r="G647" s="3">
        <v>1492</v>
      </c>
      <c r="I647" s="3">
        <f t="shared" si="10"/>
        <v>19</v>
      </c>
    </row>
    <row r="648" spans="1:9" x14ac:dyDescent="0.25">
      <c r="A648" s="2">
        <v>43959</v>
      </c>
      <c r="B648" s="3" t="s">
        <v>20</v>
      </c>
      <c r="E648" s="3">
        <v>19</v>
      </c>
      <c r="F648" s="3">
        <v>1520</v>
      </c>
      <c r="G648" s="3">
        <v>1380</v>
      </c>
      <c r="I648" s="3">
        <f t="shared" si="10"/>
        <v>19</v>
      </c>
    </row>
    <row r="649" spans="1:9" x14ac:dyDescent="0.25">
      <c r="A649" s="2">
        <v>43959</v>
      </c>
      <c r="B649" s="3" t="s">
        <v>22</v>
      </c>
      <c r="E649" s="3">
        <v>54</v>
      </c>
      <c r="F649" s="3">
        <v>13563</v>
      </c>
      <c r="G649" s="3">
        <v>12604</v>
      </c>
      <c r="I649" s="3">
        <f t="shared" si="10"/>
        <v>19</v>
      </c>
    </row>
    <row r="650" spans="1:9" x14ac:dyDescent="0.25">
      <c r="A650" s="2">
        <v>43959</v>
      </c>
      <c r="B650" s="3" t="s">
        <v>21</v>
      </c>
      <c r="E650" s="3">
        <v>59</v>
      </c>
      <c r="F650" s="3">
        <v>14098</v>
      </c>
      <c r="G650" s="3">
        <v>13106</v>
      </c>
      <c r="I650" s="3">
        <f t="shared" si="10"/>
        <v>19</v>
      </c>
    </row>
    <row r="651" spans="1:9" x14ac:dyDescent="0.25">
      <c r="A651" s="2">
        <v>43959</v>
      </c>
      <c r="B651" s="3" t="s">
        <v>13</v>
      </c>
      <c r="E651" s="3">
        <v>19</v>
      </c>
      <c r="F651" s="3">
        <v>1522</v>
      </c>
      <c r="G651" s="3">
        <v>1340</v>
      </c>
      <c r="I651" s="3">
        <f t="shared" si="10"/>
        <v>19</v>
      </c>
    </row>
    <row r="652" spans="1:9" x14ac:dyDescent="0.25">
      <c r="A652" s="2">
        <v>43959</v>
      </c>
      <c r="B652" s="3" t="s">
        <v>23</v>
      </c>
      <c r="E652" s="3">
        <v>15</v>
      </c>
      <c r="F652" s="3">
        <v>703</v>
      </c>
      <c r="G652" s="3">
        <v>609</v>
      </c>
      <c r="I652" s="3">
        <f t="shared" si="10"/>
        <v>19</v>
      </c>
    </row>
    <row r="653" spans="1:9" x14ac:dyDescent="0.25">
      <c r="A653" s="2">
        <v>43959</v>
      </c>
      <c r="B653" s="3" t="s">
        <v>18</v>
      </c>
      <c r="E653" s="3">
        <v>15</v>
      </c>
      <c r="F653" s="3">
        <v>879</v>
      </c>
      <c r="G653" s="3">
        <v>768</v>
      </c>
      <c r="I653" s="3">
        <f t="shared" si="10"/>
        <v>19</v>
      </c>
    </row>
    <row r="654" spans="1:9" x14ac:dyDescent="0.25">
      <c r="A654" s="2">
        <v>43959</v>
      </c>
      <c r="B654" s="3" t="s">
        <v>19</v>
      </c>
      <c r="E654" s="3">
        <v>15</v>
      </c>
      <c r="F654" s="3">
        <v>492</v>
      </c>
      <c r="G654" s="3">
        <v>412</v>
      </c>
      <c r="I654" s="3">
        <f t="shared" si="10"/>
        <v>19</v>
      </c>
    </row>
    <row r="655" spans="1:9" x14ac:dyDescent="0.25">
      <c r="A655" s="2">
        <v>43959</v>
      </c>
      <c r="B655" s="3" t="s">
        <v>15</v>
      </c>
      <c r="E655" s="3">
        <v>125</v>
      </c>
      <c r="F655" s="3">
        <v>24620</v>
      </c>
      <c r="G655" s="3">
        <v>22641</v>
      </c>
      <c r="I655" s="3">
        <f t="shared" si="10"/>
        <v>19</v>
      </c>
    </row>
    <row r="656" spans="1:9" x14ac:dyDescent="0.25">
      <c r="A656" s="2">
        <v>43959</v>
      </c>
      <c r="B656" s="3" t="s">
        <v>14</v>
      </c>
      <c r="E656" s="3">
        <v>129</v>
      </c>
      <c r="F656" s="3">
        <v>20452</v>
      </c>
      <c r="G656" s="3">
        <v>18857</v>
      </c>
      <c r="I656" s="3">
        <f t="shared" si="10"/>
        <v>19</v>
      </c>
    </row>
    <row r="657" spans="1:9" x14ac:dyDescent="0.25">
      <c r="A657" s="2">
        <v>43959</v>
      </c>
      <c r="B657" s="3" t="s">
        <v>12</v>
      </c>
      <c r="E657" s="3">
        <v>10</v>
      </c>
      <c r="F657" s="3">
        <v>638</v>
      </c>
      <c r="G657" s="3">
        <v>547</v>
      </c>
      <c r="I657" s="3">
        <f t="shared" si="10"/>
        <v>19</v>
      </c>
    </row>
    <row r="658" spans="1:9" x14ac:dyDescent="0.25">
      <c r="A658" s="2">
        <v>43960</v>
      </c>
      <c r="B658" s="3" t="s">
        <v>16</v>
      </c>
      <c r="E658" s="3">
        <v>36</v>
      </c>
      <c r="F658" s="3">
        <v>5413</v>
      </c>
      <c r="G658" s="3">
        <v>4959</v>
      </c>
      <c r="I658" s="3">
        <f t="shared" si="10"/>
        <v>19</v>
      </c>
    </row>
    <row r="659" spans="1:9" x14ac:dyDescent="0.25">
      <c r="A659" s="2">
        <v>43960</v>
      </c>
      <c r="B659" s="3" t="s">
        <v>11</v>
      </c>
      <c r="E659" s="3">
        <v>31</v>
      </c>
      <c r="F659" s="3">
        <v>4556</v>
      </c>
      <c r="G659" s="3">
        <v>4220</v>
      </c>
      <c r="I659" s="3">
        <f t="shared" si="10"/>
        <v>19</v>
      </c>
    </row>
    <row r="660" spans="1:9" x14ac:dyDescent="0.25">
      <c r="A660" s="2">
        <v>43960</v>
      </c>
      <c r="B660" s="3" t="s">
        <v>17</v>
      </c>
      <c r="E660" s="3">
        <v>21</v>
      </c>
      <c r="F660" s="3">
        <v>1891</v>
      </c>
      <c r="G660" s="3">
        <v>1709</v>
      </c>
      <c r="I660" s="3">
        <f t="shared" si="10"/>
        <v>19</v>
      </c>
    </row>
    <row r="661" spans="1:9" x14ac:dyDescent="0.25">
      <c r="A661" s="2">
        <v>43960</v>
      </c>
      <c r="B661" s="3" t="s">
        <v>10</v>
      </c>
      <c r="E661" s="3">
        <v>21</v>
      </c>
      <c r="F661" s="3">
        <v>1735</v>
      </c>
      <c r="G661" s="3">
        <v>1568</v>
      </c>
      <c r="I661" s="3">
        <f t="shared" si="10"/>
        <v>19</v>
      </c>
    </row>
    <row r="662" spans="1:9" x14ac:dyDescent="0.25">
      <c r="A662" s="2">
        <v>43960</v>
      </c>
      <c r="B662" s="3" t="s">
        <v>20</v>
      </c>
      <c r="E662" s="3">
        <v>19</v>
      </c>
      <c r="F662" s="3">
        <v>1542</v>
      </c>
      <c r="G662" s="3">
        <v>1412</v>
      </c>
      <c r="I662" s="3">
        <f t="shared" si="10"/>
        <v>19</v>
      </c>
    </row>
    <row r="663" spans="1:9" x14ac:dyDescent="0.25">
      <c r="A663" s="2">
        <v>43960</v>
      </c>
      <c r="B663" s="3" t="s">
        <v>22</v>
      </c>
      <c r="E663" s="3">
        <v>54</v>
      </c>
      <c r="F663" s="3">
        <v>11288</v>
      </c>
      <c r="G663" s="3">
        <v>10492</v>
      </c>
      <c r="I663" s="3">
        <f t="shared" si="10"/>
        <v>19</v>
      </c>
    </row>
    <row r="664" spans="1:9" x14ac:dyDescent="0.25">
      <c r="A664" s="2">
        <v>43960</v>
      </c>
      <c r="B664" s="3" t="s">
        <v>21</v>
      </c>
      <c r="E664" s="3">
        <v>59</v>
      </c>
      <c r="F664" s="3">
        <v>12016</v>
      </c>
      <c r="G664" s="3">
        <v>11137</v>
      </c>
      <c r="I664" s="3">
        <f t="shared" si="10"/>
        <v>19</v>
      </c>
    </row>
    <row r="665" spans="1:9" x14ac:dyDescent="0.25">
      <c r="A665" s="2">
        <v>43960</v>
      </c>
      <c r="B665" s="3" t="s">
        <v>13</v>
      </c>
      <c r="E665" s="3">
        <v>19</v>
      </c>
      <c r="F665" s="3">
        <v>1851</v>
      </c>
      <c r="G665" s="3">
        <v>1635</v>
      </c>
      <c r="I665" s="3">
        <f t="shared" si="10"/>
        <v>19</v>
      </c>
    </row>
    <row r="666" spans="1:9" x14ac:dyDescent="0.25">
      <c r="A666" s="2">
        <v>43960</v>
      </c>
      <c r="B666" s="3" t="s">
        <v>23</v>
      </c>
      <c r="E666" s="3">
        <v>15</v>
      </c>
      <c r="F666" s="3">
        <v>654</v>
      </c>
      <c r="G666" s="3">
        <v>570</v>
      </c>
      <c r="I666" s="3">
        <f t="shared" si="10"/>
        <v>19</v>
      </c>
    </row>
    <row r="667" spans="1:9" x14ac:dyDescent="0.25">
      <c r="A667" s="2">
        <v>43960</v>
      </c>
      <c r="B667" s="3" t="s">
        <v>18</v>
      </c>
      <c r="E667" s="3">
        <v>15</v>
      </c>
      <c r="F667" s="3">
        <v>849</v>
      </c>
      <c r="G667" s="3">
        <v>740</v>
      </c>
      <c r="I667" s="3">
        <f t="shared" si="10"/>
        <v>19</v>
      </c>
    </row>
    <row r="668" spans="1:9" x14ac:dyDescent="0.25">
      <c r="A668" s="2">
        <v>43960</v>
      </c>
      <c r="B668" s="3" t="s">
        <v>19</v>
      </c>
      <c r="E668" s="3">
        <v>15</v>
      </c>
      <c r="F668" s="3">
        <v>623</v>
      </c>
      <c r="G668" s="3">
        <v>535</v>
      </c>
      <c r="I668" s="3">
        <f t="shared" si="10"/>
        <v>19</v>
      </c>
    </row>
    <row r="669" spans="1:9" x14ac:dyDescent="0.25">
      <c r="A669" s="2">
        <v>43960</v>
      </c>
      <c r="B669" s="3" t="s">
        <v>15</v>
      </c>
      <c r="E669" s="3">
        <v>125</v>
      </c>
      <c r="F669" s="3">
        <v>20132</v>
      </c>
      <c r="G669" s="3">
        <v>18617</v>
      </c>
      <c r="I669" s="3">
        <f t="shared" si="10"/>
        <v>19</v>
      </c>
    </row>
    <row r="670" spans="1:9" x14ac:dyDescent="0.25">
      <c r="A670" s="2">
        <v>43960</v>
      </c>
      <c r="B670" s="3" t="s">
        <v>14</v>
      </c>
      <c r="E670" s="3">
        <v>129</v>
      </c>
      <c r="F670" s="3">
        <v>16420</v>
      </c>
      <c r="G670" s="3">
        <v>15169</v>
      </c>
      <c r="I670" s="3">
        <f t="shared" si="10"/>
        <v>19</v>
      </c>
    </row>
    <row r="671" spans="1:9" x14ac:dyDescent="0.25">
      <c r="A671" s="2">
        <v>43960</v>
      </c>
      <c r="B671" s="3" t="s">
        <v>12</v>
      </c>
      <c r="E671" s="3">
        <v>10</v>
      </c>
      <c r="F671" s="3">
        <v>644</v>
      </c>
      <c r="G671" s="3">
        <v>559</v>
      </c>
      <c r="I671" s="3">
        <f t="shared" si="10"/>
        <v>19</v>
      </c>
    </row>
    <row r="672" spans="1:9" x14ac:dyDescent="0.25">
      <c r="A672" s="2">
        <v>43961</v>
      </c>
      <c r="B672" s="3" t="s">
        <v>16</v>
      </c>
      <c r="E672" s="3">
        <v>36</v>
      </c>
      <c r="F672" s="3">
        <v>5746</v>
      </c>
      <c r="G672" s="3">
        <v>5277</v>
      </c>
      <c r="I672" s="3">
        <f t="shared" si="10"/>
        <v>19</v>
      </c>
    </row>
    <row r="673" spans="1:9" x14ac:dyDescent="0.25">
      <c r="A673" s="2">
        <v>43961</v>
      </c>
      <c r="B673" s="3" t="s">
        <v>11</v>
      </c>
      <c r="E673" s="3">
        <v>31</v>
      </c>
      <c r="F673" s="3">
        <v>5495</v>
      </c>
      <c r="G673" s="3">
        <v>5093</v>
      </c>
      <c r="I673" s="3">
        <f t="shared" si="10"/>
        <v>19</v>
      </c>
    </row>
    <row r="674" spans="1:9" x14ac:dyDescent="0.25">
      <c r="A674" s="2">
        <v>43961</v>
      </c>
      <c r="B674" s="3" t="s">
        <v>17</v>
      </c>
      <c r="E674" s="3">
        <v>21</v>
      </c>
      <c r="F674" s="3">
        <v>2120</v>
      </c>
      <c r="G674" s="3">
        <v>1921</v>
      </c>
      <c r="I674" s="3">
        <f t="shared" si="10"/>
        <v>19</v>
      </c>
    </row>
    <row r="675" spans="1:9" x14ac:dyDescent="0.25">
      <c r="A675" s="2">
        <v>43961</v>
      </c>
      <c r="B675" s="3" t="s">
        <v>10</v>
      </c>
      <c r="E675" s="3">
        <v>21</v>
      </c>
      <c r="F675" s="3">
        <v>2016</v>
      </c>
      <c r="G675" s="3">
        <v>1846</v>
      </c>
      <c r="I675" s="3">
        <f t="shared" si="10"/>
        <v>19</v>
      </c>
    </row>
    <row r="676" spans="1:9" x14ac:dyDescent="0.25">
      <c r="A676" s="2">
        <v>43961</v>
      </c>
      <c r="B676" s="3" t="s">
        <v>20</v>
      </c>
      <c r="E676" s="3">
        <v>19</v>
      </c>
      <c r="F676" s="3">
        <v>1836</v>
      </c>
      <c r="G676" s="3">
        <v>1680</v>
      </c>
      <c r="I676" s="3">
        <f t="shared" si="10"/>
        <v>19</v>
      </c>
    </row>
    <row r="677" spans="1:9" x14ac:dyDescent="0.25">
      <c r="A677" s="2">
        <v>43961</v>
      </c>
      <c r="B677" s="3" t="s">
        <v>22</v>
      </c>
      <c r="E677" s="3">
        <v>54</v>
      </c>
      <c r="F677" s="3">
        <v>13832</v>
      </c>
      <c r="G677" s="3">
        <v>12864</v>
      </c>
      <c r="I677" s="3">
        <f t="shared" si="10"/>
        <v>19</v>
      </c>
    </row>
    <row r="678" spans="1:9" x14ac:dyDescent="0.25">
      <c r="A678" s="2">
        <v>43961</v>
      </c>
      <c r="B678" s="3" t="s">
        <v>21</v>
      </c>
      <c r="E678" s="3">
        <v>59</v>
      </c>
      <c r="F678" s="3">
        <v>14569</v>
      </c>
      <c r="G678" s="3">
        <v>13566</v>
      </c>
      <c r="I678" s="3">
        <f t="shared" si="10"/>
        <v>19</v>
      </c>
    </row>
    <row r="679" spans="1:9" x14ac:dyDescent="0.25">
      <c r="A679" s="2">
        <v>43961</v>
      </c>
      <c r="B679" s="3" t="s">
        <v>13</v>
      </c>
      <c r="E679" s="3">
        <v>19</v>
      </c>
      <c r="F679" s="3">
        <v>1848</v>
      </c>
      <c r="G679" s="3">
        <v>1649</v>
      </c>
      <c r="I679" s="3">
        <f t="shared" si="10"/>
        <v>19</v>
      </c>
    </row>
    <row r="680" spans="1:9" x14ac:dyDescent="0.25">
      <c r="A680" s="2">
        <v>43961</v>
      </c>
      <c r="B680" s="3" t="s">
        <v>23</v>
      </c>
      <c r="E680" s="3">
        <v>15</v>
      </c>
      <c r="F680" s="3">
        <v>792</v>
      </c>
      <c r="G680" s="3">
        <v>695</v>
      </c>
      <c r="I680" s="3">
        <f t="shared" si="10"/>
        <v>19</v>
      </c>
    </row>
    <row r="681" spans="1:9" x14ac:dyDescent="0.25">
      <c r="A681" s="2">
        <v>43961</v>
      </c>
      <c r="B681" s="3" t="s">
        <v>18</v>
      </c>
      <c r="E681" s="3">
        <v>15</v>
      </c>
      <c r="F681" s="3">
        <v>950</v>
      </c>
      <c r="G681" s="3">
        <v>848</v>
      </c>
      <c r="I681" s="3">
        <f t="shared" si="10"/>
        <v>19</v>
      </c>
    </row>
    <row r="682" spans="1:9" x14ac:dyDescent="0.25">
      <c r="A682" s="2">
        <v>43961</v>
      </c>
      <c r="B682" s="3" t="s">
        <v>19</v>
      </c>
      <c r="E682" s="3">
        <v>15</v>
      </c>
      <c r="F682" s="3">
        <v>706</v>
      </c>
      <c r="G682" s="3">
        <v>608</v>
      </c>
      <c r="I682" s="3">
        <f t="shared" si="10"/>
        <v>19</v>
      </c>
    </row>
    <row r="683" spans="1:9" x14ac:dyDescent="0.25">
      <c r="A683" s="2">
        <v>43961</v>
      </c>
      <c r="B683" s="3" t="s">
        <v>15</v>
      </c>
      <c r="E683" s="3">
        <v>125</v>
      </c>
      <c r="F683" s="3">
        <v>20368</v>
      </c>
      <c r="G683" s="3">
        <v>18884</v>
      </c>
      <c r="I683" s="3">
        <f t="shared" si="10"/>
        <v>19</v>
      </c>
    </row>
    <row r="684" spans="1:9" x14ac:dyDescent="0.25">
      <c r="A684" s="2">
        <v>43961</v>
      </c>
      <c r="B684" s="3" t="s">
        <v>14</v>
      </c>
      <c r="E684" s="3">
        <v>129</v>
      </c>
      <c r="F684" s="3">
        <v>16437</v>
      </c>
      <c r="G684" s="3">
        <v>15285</v>
      </c>
      <c r="I684" s="3">
        <f t="shared" si="10"/>
        <v>19</v>
      </c>
    </row>
    <row r="685" spans="1:9" x14ac:dyDescent="0.25">
      <c r="A685" s="2">
        <v>43961</v>
      </c>
      <c r="B685" s="3" t="s">
        <v>12</v>
      </c>
      <c r="E685" s="3">
        <v>10</v>
      </c>
      <c r="F685" s="3">
        <v>642</v>
      </c>
      <c r="G685" s="3">
        <v>556</v>
      </c>
      <c r="I685" s="3">
        <f t="shared" si="10"/>
        <v>19</v>
      </c>
    </row>
    <row r="686" spans="1:9" x14ac:dyDescent="0.25">
      <c r="A686" s="2">
        <v>43962</v>
      </c>
      <c r="B686" s="3" t="s">
        <v>16</v>
      </c>
      <c r="E686" s="3">
        <v>36</v>
      </c>
      <c r="F686" s="3">
        <v>4150</v>
      </c>
      <c r="G686" s="3">
        <v>3838</v>
      </c>
      <c r="I686" s="3">
        <f t="shared" si="10"/>
        <v>20</v>
      </c>
    </row>
    <row r="687" spans="1:9" x14ac:dyDescent="0.25">
      <c r="A687" s="2">
        <v>43962</v>
      </c>
      <c r="B687" s="3" t="s">
        <v>11</v>
      </c>
      <c r="E687" s="3">
        <v>31</v>
      </c>
      <c r="F687" s="3">
        <v>4826</v>
      </c>
      <c r="G687" s="3">
        <v>4483</v>
      </c>
      <c r="I687" s="3">
        <f t="shared" si="10"/>
        <v>20</v>
      </c>
    </row>
    <row r="688" spans="1:9" x14ac:dyDescent="0.25">
      <c r="A688" s="2">
        <v>43962</v>
      </c>
      <c r="B688" s="3" t="s">
        <v>17</v>
      </c>
      <c r="E688" s="3">
        <v>21</v>
      </c>
      <c r="F688" s="3">
        <v>1916</v>
      </c>
      <c r="G688" s="3">
        <v>1733</v>
      </c>
      <c r="I688" s="3">
        <f t="shared" si="10"/>
        <v>20</v>
      </c>
    </row>
    <row r="689" spans="1:9" x14ac:dyDescent="0.25">
      <c r="A689" s="2">
        <v>43962</v>
      </c>
      <c r="B689" s="3" t="s">
        <v>10</v>
      </c>
      <c r="E689" s="3">
        <v>21</v>
      </c>
      <c r="F689" s="3">
        <v>1597</v>
      </c>
      <c r="G689" s="3">
        <v>1457</v>
      </c>
      <c r="I689" s="3">
        <f t="shared" si="10"/>
        <v>20</v>
      </c>
    </row>
    <row r="690" spans="1:9" x14ac:dyDescent="0.25">
      <c r="A690" s="2">
        <v>43962</v>
      </c>
      <c r="B690" s="3" t="s">
        <v>20</v>
      </c>
      <c r="E690" s="3">
        <v>19</v>
      </c>
      <c r="F690" s="3">
        <v>1527</v>
      </c>
      <c r="G690" s="3">
        <v>1389</v>
      </c>
      <c r="I690" s="3">
        <f t="shared" si="10"/>
        <v>20</v>
      </c>
    </row>
    <row r="691" spans="1:9" x14ac:dyDescent="0.25">
      <c r="A691" s="2">
        <v>43962</v>
      </c>
      <c r="B691" s="3" t="s">
        <v>22</v>
      </c>
      <c r="E691" s="3">
        <v>54</v>
      </c>
      <c r="F691" s="3">
        <v>10570</v>
      </c>
      <c r="G691" s="3">
        <v>9926</v>
      </c>
      <c r="I691" s="3">
        <f t="shared" si="10"/>
        <v>20</v>
      </c>
    </row>
    <row r="692" spans="1:9" x14ac:dyDescent="0.25">
      <c r="A692" s="2">
        <v>43962</v>
      </c>
      <c r="B692" s="3" t="s">
        <v>21</v>
      </c>
      <c r="E692" s="3">
        <v>60</v>
      </c>
      <c r="F692" s="3">
        <v>11100</v>
      </c>
      <c r="G692" s="3">
        <v>10407</v>
      </c>
      <c r="I692" s="3">
        <f t="shared" si="10"/>
        <v>20</v>
      </c>
    </row>
    <row r="693" spans="1:9" x14ac:dyDescent="0.25">
      <c r="A693" s="2">
        <v>43962</v>
      </c>
      <c r="B693" s="3" t="s">
        <v>13</v>
      </c>
      <c r="E693" s="3">
        <v>19</v>
      </c>
      <c r="F693" s="3">
        <v>2530</v>
      </c>
      <c r="G693" s="3">
        <v>2270</v>
      </c>
      <c r="I693" s="3">
        <f t="shared" si="10"/>
        <v>20</v>
      </c>
    </row>
    <row r="694" spans="1:9" x14ac:dyDescent="0.25">
      <c r="A694" s="2">
        <v>43962</v>
      </c>
      <c r="B694" s="3" t="s">
        <v>23</v>
      </c>
      <c r="E694" s="3">
        <v>15</v>
      </c>
      <c r="F694" s="3">
        <v>654</v>
      </c>
      <c r="G694" s="3">
        <v>564</v>
      </c>
      <c r="I694" s="3">
        <f t="shared" si="10"/>
        <v>20</v>
      </c>
    </row>
    <row r="695" spans="1:9" x14ac:dyDescent="0.25">
      <c r="A695" s="2">
        <v>43962</v>
      </c>
      <c r="B695" s="3" t="s">
        <v>18</v>
      </c>
      <c r="E695" s="3">
        <v>15</v>
      </c>
      <c r="F695" s="3">
        <v>812</v>
      </c>
      <c r="G695" s="3">
        <v>714</v>
      </c>
      <c r="I695" s="3">
        <f t="shared" si="10"/>
        <v>20</v>
      </c>
    </row>
    <row r="696" spans="1:9" x14ac:dyDescent="0.25">
      <c r="A696" s="2">
        <v>43962</v>
      </c>
      <c r="B696" s="3" t="s">
        <v>19</v>
      </c>
      <c r="E696" s="3">
        <v>15</v>
      </c>
      <c r="F696" s="3">
        <v>684</v>
      </c>
      <c r="G696" s="3">
        <v>585</v>
      </c>
      <c r="I696" s="3">
        <f t="shared" si="10"/>
        <v>20</v>
      </c>
    </row>
    <row r="697" spans="1:9" x14ac:dyDescent="0.25">
      <c r="A697" s="2">
        <v>43962</v>
      </c>
      <c r="B697" s="3" t="s">
        <v>15</v>
      </c>
      <c r="E697" s="3">
        <v>125</v>
      </c>
      <c r="F697" s="3">
        <v>18066</v>
      </c>
      <c r="G697" s="3">
        <v>16883</v>
      </c>
      <c r="I697" s="3">
        <f t="shared" si="10"/>
        <v>20</v>
      </c>
    </row>
    <row r="698" spans="1:9" x14ac:dyDescent="0.25">
      <c r="A698" s="2">
        <v>43962</v>
      </c>
      <c r="B698" s="3" t="s">
        <v>14</v>
      </c>
      <c r="E698" s="3">
        <v>129</v>
      </c>
      <c r="F698" s="3">
        <v>14043</v>
      </c>
      <c r="G698" s="3">
        <v>13167</v>
      </c>
      <c r="I698" s="3">
        <f t="shared" si="10"/>
        <v>20</v>
      </c>
    </row>
    <row r="699" spans="1:9" x14ac:dyDescent="0.25">
      <c r="A699" s="2">
        <v>43962</v>
      </c>
      <c r="B699" s="3" t="s">
        <v>12</v>
      </c>
      <c r="E699" s="3">
        <v>10</v>
      </c>
      <c r="F699" s="3">
        <v>494</v>
      </c>
      <c r="G699" s="3">
        <v>421</v>
      </c>
      <c r="I699" s="3">
        <f t="shared" si="10"/>
        <v>20</v>
      </c>
    </row>
    <row r="700" spans="1:9" x14ac:dyDescent="0.25">
      <c r="A700" s="2">
        <v>43963</v>
      </c>
      <c r="B700" s="3" t="s">
        <v>16</v>
      </c>
      <c r="E700" s="3">
        <v>36</v>
      </c>
      <c r="F700" s="3">
        <v>4418</v>
      </c>
      <c r="G700" s="3">
        <v>4088</v>
      </c>
      <c r="I700" s="3">
        <f t="shared" si="10"/>
        <v>20</v>
      </c>
    </row>
    <row r="701" spans="1:9" x14ac:dyDescent="0.25">
      <c r="A701" s="2">
        <v>43963</v>
      </c>
      <c r="B701" s="3" t="s">
        <v>11</v>
      </c>
      <c r="E701" s="3">
        <v>31</v>
      </c>
      <c r="F701" s="3">
        <v>4800</v>
      </c>
      <c r="G701" s="3">
        <v>4470</v>
      </c>
      <c r="I701" s="3">
        <f t="shared" si="10"/>
        <v>20</v>
      </c>
    </row>
    <row r="702" spans="1:9" x14ac:dyDescent="0.25">
      <c r="A702" s="2">
        <v>43963</v>
      </c>
      <c r="B702" s="3" t="s">
        <v>17</v>
      </c>
      <c r="E702" s="3">
        <v>21</v>
      </c>
      <c r="F702" s="3">
        <v>1926</v>
      </c>
      <c r="G702" s="3">
        <v>1745</v>
      </c>
      <c r="I702" s="3">
        <f t="shared" si="10"/>
        <v>20</v>
      </c>
    </row>
    <row r="703" spans="1:9" x14ac:dyDescent="0.25">
      <c r="A703" s="2">
        <v>43963</v>
      </c>
      <c r="B703" s="3" t="s">
        <v>10</v>
      </c>
      <c r="E703" s="3">
        <v>21</v>
      </c>
      <c r="F703" s="3">
        <v>1656</v>
      </c>
      <c r="G703" s="3">
        <v>1516</v>
      </c>
      <c r="I703" s="3">
        <f t="shared" si="10"/>
        <v>20</v>
      </c>
    </row>
    <row r="704" spans="1:9" x14ac:dyDescent="0.25">
      <c r="A704" s="2">
        <v>43963</v>
      </c>
      <c r="B704" s="3" t="s">
        <v>20</v>
      </c>
      <c r="E704" s="3">
        <v>19</v>
      </c>
      <c r="F704" s="3">
        <v>1598</v>
      </c>
      <c r="G704" s="3">
        <v>1454</v>
      </c>
      <c r="I704" s="3">
        <f t="shared" si="10"/>
        <v>20</v>
      </c>
    </row>
    <row r="705" spans="1:9" x14ac:dyDescent="0.25">
      <c r="A705" s="2">
        <v>43963</v>
      </c>
      <c r="B705" s="3" t="s">
        <v>22</v>
      </c>
      <c r="E705" s="3">
        <v>54</v>
      </c>
      <c r="F705" s="3">
        <v>11614</v>
      </c>
      <c r="G705" s="3">
        <v>10862</v>
      </c>
      <c r="I705" s="3">
        <f t="shared" si="10"/>
        <v>20</v>
      </c>
    </row>
    <row r="706" spans="1:9" x14ac:dyDescent="0.25">
      <c r="A706" s="2">
        <v>43963</v>
      </c>
      <c r="B706" s="3" t="s">
        <v>21</v>
      </c>
      <c r="E706" s="3">
        <v>60</v>
      </c>
      <c r="F706" s="3">
        <v>12000</v>
      </c>
      <c r="G706" s="3">
        <v>11194</v>
      </c>
      <c r="I706" s="3">
        <f t="shared" si="10"/>
        <v>20</v>
      </c>
    </row>
    <row r="707" spans="1:9" x14ac:dyDescent="0.25">
      <c r="A707" s="2">
        <v>43963</v>
      </c>
      <c r="B707" s="3" t="s">
        <v>13</v>
      </c>
      <c r="E707" s="3">
        <v>19</v>
      </c>
      <c r="F707" s="3">
        <v>1649</v>
      </c>
      <c r="G707" s="3">
        <v>1460</v>
      </c>
      <c r="I707" s="3">
        <f t="shared" ref="I707:I770" si="11">WEEKNUM(A707,2)</f>
        <v>20</v>
      </c>
    </row>
    <row r="708" spans="1:9" x14ac:dyDescent="0.25">
      <c r="A708" s="2">
        <v>43963</v>
      </c>
      <c r="B708" s="3" t="s">
        <v>23</v>
      </c>
      <c r="E708" s="3">
        <v>15</v>
      </c>
      <c r="F708" s="3">
        <v>750</v>
      </c>
      <c r="G708" s="3">
        <v>659</v>
      </c>
      <c r="I708" s="3">
        <f t="shared" si="11"/>
        <v>20</v>
      </c>
    </row>
    <row r="709" spans="1:9" x14ac:dyDescent="0.25">
      <c r="A709" s="2">
        <v>43963</v>
      </c>
      <c r="B709" s="3" t="s">
        <v>18</v>
      </c>
      <c r="E709" s="3">
        <v>15</v>
      </c>
      <c r="F709" s="3">
        <v>845</v>
      </c>
      <c r="G709" s="3">
        <v>743</v>
      </c>
      <c r="I709" s="3">
        <f t="shared" si="11"/>
        <v>20</v>
      </c>
    </row>
    <row r="710" spans="1:9" x14ac:dyDescent="0.25">
      <c r="A710" s="2">
        <v>43963</v>
      </c>
      <c r="B710" s="3" t="s">
        <v>19</v>
      </c>
      <c r="E710" s="3">
        <v>15</v>
      </c>
      <c r="F710" s="3">
        <v>624</v>
      </c>
      <c r="G710" s="3">
        <v>538</v>
      </c>
      <c r="I710" s="3">
        <f t="shared" si="11"/>
        <v>20</v>
      </c>
    </row>
    <row r="711" spans="1:9" x14ac:dyDescent="0.25">
      <c r="A711" s="2">
        <v>43963</v>
      </c>
      <c r="B711" s="3" t="s">
        <v>15</v>
      </c>
      <c r="E711" s="3">
        <v>125</v>
      </c>
      <c r="F711" s="3">
        <v>21106</v>
      </c>
      <c r="G711" s="3">
        <v>19651</v>
      </c>
      <c r="I711" s="3">
        <f t="shared" si="11"/>
        <v>20</v>
      </c>
    </row>
    <row r="712" spans="1:9" x14ac:dyDescent="0.25">
      <c r="A712" s="2">
        <v>43963</v>
      </c>
      <c r="B712" s="3" t="s">
        <v>14</v>
      </c>
      <c r="E712" s="3">
        <v>129</v>
      </c>
      <c r="F712" s="3">
        <v>16387</v>
      </c>
      <c r="G712" s="3">
        <v>15322</v>
      </c>
      <c r="I712" s="3">
        <f t="shared" si="11"/>
        <v>20</v>
      </c>
    </row>
    <row r="713" spans="1:9" x14ac:dyDescent="0.25">
      <c r="A713" s="2">
        <v>43963</v>
      </c>
      <c r="B713" s="3" t="s">
        <v>12</v>
      </c>
      <c r="E713" s="3">
        <v>10</v>
      </c>
      <c r="F713" s="3">
        <v>526</v>
      </c>
      <c r="G713" s="3">
        <v>448</v>
      </c>
      <c r="I713" s="3">
        <f t="shared" si="11"/>
        <v>20</v>
      </c>
    </row>
    <row r="714" spans="1:9" x14ac:dyDescent="0.25">
      <c r="A714" s="2">
        <v>43964</v>
      </c>
      <c r="B714" s="3" t="s">
        <v>16</v>
      </c>
      <c r="E714" s="3">
        <v>36</v>
      </c>
      <c r="F714" s="3">
        <v>4967</v>
      </c>
      <c r="G714" s="3">
        <v>4583</v>
      </c>
      <c r="I714" s="3">
        <f t="shared" si="11"/>
        <v>20</v>
      </c>
    </row>
    <row r="715" spans="1:9" x14ac:dyDescent="0.25">
      <c r="A715" s="2">
        <v>43964</v>
      </c>
      <c r="B715" s="3" t="s">
        <v>11</v>
      </c>
      <c r="E715" s="3">
        <v>31</v>
      </c>
      <c r="F715" s="3">
        <v>5251</v>
      </c>
      <c r="G715" s="3">
        <v>4853</v>
      </c>
      <c r="I715" s="3">
        <f t="shared" si="11"/>
        <v>20</v>
      </c>
    </row>
    <row r="716" spans="1:9" x14ac:dyDescent="0.25">
      <c r="A716" s="2">
        <v>43964</v>
      </c>
      <c r="B716" s="3" t="s">
        <v>17</v>
      </c>
      <c r="E716" s="3">
        <v>21</v>
      </c>
      <c r="F716" s="3">
        <v>2061</v>
      </c>
      <c r="G716" s="3">
        <v>1876</v>
      </c>
      <c r="I716" s="3">
        <f t="shared" si="11"/>
        <v>20</v>
      </c>
    </row>
    <row r="717" spans="1:9" x14ac:dyDescent="0.25">
      <c r="A717" s="2">
        <v>43964</v>
      </c>
      <c r="B717" s="3" t="s">
        <v>10</v>
      </c>
      <c r="E717" s="3">
        <v>21</v>
      </c>
      <c r="F717" s="3">
        <v>1698</v>
      </c>
      <c r="G717" s="3">
        <v>1554</v>
      </c>
      <c r="I717" s="3">
        <f t="shared" si="11"/>
        <v>20</v>
      </c>
    </row>
    <row r="718" spans="1:9" x14ac:dyDescent="0.25">
      <c r="A718" s="2">
        <v>43964</v>
      </c>
      <c r="B718" s="3" t="s">
        <v>20</v>
      </c>
      <c r="E718" s="3">
        <v>19</v>
      </c>
      <c r="F718" s="3">
        <v>1605</v>
      </c>
      <c r="G718" s="3">
        <v>1447</v>
      </c>
      <c r="I718" s="3">
        <f t="shared" si="11"/>
        <v>20</v>
      </c>
    </row>
    <row r="719" spans="1:9" x14ac:dyDescent="0.25">
      <c r="A719" s="2">
        <v>43964</v>
      </c>
      <c r="B719" s="3" t="s">
        <v>22</v>
      </c>
      <c r="E719" s="3">
        <v>54</v>
      </c>
      <c r="F719" s="3">
        <v>11522</v>
      </c>
      <c r="G719" s="3">
        <v>10803</v>
      </c>
      <c r="I719" s="3">
        <f t="shared" si="11"/>
        <v>20</v>
      </c>
    </row>
    <row r="720" spans="1:9" x14ac:dyDescent="0.25">
      <c r="A720" s="2">
        <v>43964</v>
      </c>
      <c r="B720" s="3" t="s">
        <v>21</v>
      </c>
      <c r="E720" s="3">
        <v>60</v>
      </c>
      <c r="F720" s="3">
        <v>12007</v>
      </c>
      <c r="G720" s="3">
        <v>11245</v>
      </c>
      <c r="I720" s="3">
        <f t="shared" si="11"/>
        <v>20</v>
      </c>
    </row>
    <row r="721" spans="1:9" x14ac:dyDescent="0.25">
      <c r="A721" s="2">
        <v>43964</v>
      </c>
      <c r="B721" s="3" t="s">
        <v>13</v>
      </c>
      <c r="E721" s="3">
        <v>19</v>
      </c>
      <c r="F721" s="3">
        <v>1625</v>
      </c>
      <c r="G721" s="3">
        <v>1444</v>
      </c>
      <c r="I721" s="3">
        <f t="shared" si="11"/>
        <v>20</v>
      </c>
    </row>
    <row r="722" spans="1:9" x14ac:dyDescent="0.25">
      <c r="A722" s="2">
        <v>43964</v>
      </c>
      <c r="B722" s="3" t="s">
        <v>23</v>
      </c>
      <c r="E722" s="3">
        <v>15</v>
      </c>
      <c r="F722" s="3">
        <v>854</v>
      </c>
      <c r="G722" s="3">
        <v>756</v>
      </c>
      <c r="I722" s="3">
        <f t="shared" si="11"/>
        <v>20</v>
      </c>
    </row>
    <row r="723" spans="1:9" x14ac:dyDescent="0.25">
      <c r="A723" s="2">
        <v>43964</v>
      </c>
      <c r="B723" s="3" t="s">
        <v>18</v>
      </c>
      <c r="E723" s="3">
        <v>15</v>
      </c>
      <c r="F723" s="3">
        <v>898</v>
      </c>
      <c r="G723" s="3">
        <v>795</v>
      </c>
      <c r="I723" s="3">
        <f t="shared" si="11"/>
        <v>20</v>
      </c>
    </row>
    <row r="724" spans="1:9" x14ac:dyDescent="0.25">
      <c r="A724" s="2">
        <v>43964</v>
      </c>
      <c r="B724" s="3" t="s">
        <v>19</v>
      </c>
      <c r="E724" s="3">
        <v>15</v>
      </c>
      <c r="F724" s="3">
        <v>599</v>
      </c>
      <c r="G724" s="3">
        <v>515</v>
      </c>
      <c r="I724" s="3">
        <f t="shared" si="11"/>
        <v>20</v>
      </c>
    </row>
    <row r="725" spans="1:9" x14ac:dyDescent="0.25">
      <c r="A725" s="2">
        <v>43964</v>
      </c>
      <c r="B725" s="3" t="s">
        <v>15</v>
      </c>
      <c r="E725" s="3">
        <v>125</v>
      </c>
      <c r="F725" s="3">
        <v>19965</v>
      </c>
      <c r="G725" s="3">
        <v>18573</v>
      </c>
      <c r="I725" s="3">
        <f t="shared" si="11"/>
        <v>20</v>
      </c>
    </row>
    <row r="726" spans="1:9" x14ac:dyDescent="0.25">
      <c r="A726" s="2">
        <v>43964</v>
      </c>
      <c r="B726" s="3" t="s">
        <v>14</v>
      </c>
      <c r="E726" s="3">
        <v>129</v>
      </c>
      <c r="F726" s="3">
        <v>15304</v>
      </c>
      <c r="G726" s="3">
        <v>14315</v>
      </c>
      <c r="I726" s="3">
        <f t="shared" si="11"/>
        <v>20</v>
      </c>
    </row>
    <row r="727" spans="1:9" x14ac:dyDescent="0.25">
      <c r="A727" s="2">
        <v>43964</v>
      </c>
      <c r="B727" s="3" t="s">
        <v>12</v>
      </c>
      <c r="E727" s="3">
        <v>10</v>
      </c>
      <c r="F727" s="3">
        <v>612</v>
      </c>
      <c r="G727" s="3">
        <v>530</v>
      </c>
      <c r="I727" s="3">
        <f t="shared" si="11"/>
        <v>20</v>
      </c>
    </row>
    <row r="728" spans="1:9" x14ac:dyDescent="0.25">
      <c r="A728" s="2">
        <v>43965</v>
      </c>
      <c r="B728" s="3" t="s">
        <v>16</v>
      </c>
      <c r="E728" s="3">
        <v>36</v>
      </c>
      <c r="F728" s="3">
        <v>4285</v>
      </c>
      <c r="G728" s="3">
        <v>3950</v>
      </c>
      <c r="I728" s="3">
        <f t="shared" si="11"/>
        <v>20</v>
      </c>
    </row>
    <row r="729" spans="1:9" x14ac:dyDescent="0.25">
      <c r="A729" s="2">
        <v>43965</v>
      </c>
      <c r="B729" s="3" t="s">
        <v>11</v>
      </c>
      <c r="E729" s="3">
        <v>31</v>
      </c>
      <c r="F729" s="3">
        <v>4695</v>
      </c>
      <c r="G729" s="3">
        <v>4372</v>
      </c>
      <c r="I729" s="3">
        <f t="shared" si="11"/>
        <v>20</v>
      </c>
    </row>
    <row r="730" spans="1:9" x14ac:dyDescent="0.25">
      <c r="A730" s="2">
        <v>43965</v>
      </c>
      <c r="B730" s="3" t="s">
        <v>17</v>
      </c>
      <c r="E730" s="3">
        <v>21</v>
      </c>
      <c r="F730" s="3">
        <v>1993</v>
      </c>
      <c r="G730" s="3">
        <v>1796</v>
      </c>
      <c r="I730" s="3">
        <f t="shared" si="11"/>
        <v>20</v>
      </c>
    </row>
    <row r="731" spans="1:9" x14ac:dyDescent="0.25">
      <c r="A731" s="2">
        <v>43965</v>
      </c>
      <c r="B731" s="3" t="s">
        <v>10</v>
      </c>
      <c r="E731" s="3">
        <v>21</v>
      </c>
      <c r="F731" s="3">
        <v>1706</v>
      </c>
      <c r="G731" s="3">
        <v>1548</v>
      </c>
      <c r="I731" s="3">
        <f t="shared" si="11"/>
        <v>20</v>
      </c>
    </row>
    <row r="732" spans="1:9" x14ac:dyDescent="0.25">
      <c r="A732" s="2">
        <v>43965</v>
      </c>
      <c r="B732" s="3" t="s">
        <v>20</v>
      </c>
      <c r="E732" s="3">
        <v>19</v>
      </c>
      <c r="F732" s="3">
        <v>1635</v>
      </c>
      <c r="G732" s="3">
        <v>1487</v>
      </c>
      <c r="I732" s="3">
        <f t="shared" si="11"/>
        <v>20</v>
      </c>
    </row>
    <row r="733" spans="1:9" x14ac:dyDescent="0.25">
      <c r="A733" s="2">
        <v>43965</v>
      </c>
      <c r="B733" s="3" t="s">
        <v>22</v>
      </c>
      <c r="E733" s="3">
        <v>54</v>
      </c>
      <c r="F733" s="3">
        <v>11194</v>
      </c>
      <c r="G733" s="3">
        <v>10554</v>
      </c>
      <c r="I733" s="3">
        <f t="shared" si="11"/>
        <v>20</v>
      </c>
    </row>
    <row r="734" spans="1:9" x14ac:dyDescent="0.25">
      <c r="A734" s="2">
        <v>43965</v>
      </c>
      <c r="B734" s="3" t="s">
        <v>21</v>
      </c>
      <c r="E734" s="3">
        <v>60</v>
      </c>
      <c r="F734" s="3">
        <v>11935</v>
      </c>
      <c r="G734" s="3">
        <v>11178</v>
      </c>
      <c r="I734" s="3">
        <f t="shared" si="11"/>
        <v>20</v>
      </c>
    </row>
    <row r="735" spans="1:9" x14ac:dyDescent="0.25">
      <c r="A735" s="2">
        <v>43965</v>
      </c>
      <c r="B735" s="3" t="s">
        <v>13</v>
      </c>
      <c r="E735" s="3">
        <v>19</v>
      </c>
      <c r="F735" s="3">
        <v>1675</v>
      </c>
      <c r="G735" s="3">
        <v>1475</v>
      </c>
      <c r="I735" s="3">
        <f t="shared" si="11"/>
        <v>20</v>
      </c>
    </row>
    <row r="736" spans="1:9" x14ac:dyDescent="0.25">
      <c r="A736" s="2">
        <v>43965</v>
      </c>
      <c r="B736" s="3" t="s">
        <v>23</v>
      </c>
      <c r="E736" s="3">
        <v>16</v>
      </c>
      <c r="F736" s="3">
        <v>834</v>
      </c>
      <c r="G736" s="3">
        <v>735</v>
      </c>
      <c r="I736" s="3">
        <f t="shared" si="11"/>
        <v>20</v>
      </c>
    </row>
    <row r="737" spans="1:9" x14ac:dyDescent="0.25">
      <c r="A737" s="2">
        <v>43965</v>
      </c>
      <c r="B737" s="3" t="s">
        <v>18</v>
      </c>
      <c r="E737" s="3">
        <v>15</v>
      </c>
      <c r="F737" s="3">
        <v>890</v>
      </c>
      <c r="G737" s="3">
        <v>777</v>
      </c>
      <c r="I737" s="3">
        <f t="shared" si="11"/>
        <v>20</v>
      </c>
    </row>
    <row r="738" spans="1:9" x14ac:dyDescent="0.25">
      <c r="A738" s="2">
        <v>43965</v>
      </c>
      <c r="B738" s="3" t="s">
        <v>19</v>
      </c>
      <c r="E738" s="3">
        <v>15</v>
      </c>
      <c r="F738" s="3">
        <v>638</v>
      </c>
      <c r="G738" s="3">
        <v>548</v>
      </c>
      <c r="I738" s="3">
        <f t="shared" si="11"/>
        <v>20</v>
      </c>
    </row>
    <row r="739" spans="1:9" x14ac:dyDescent="0.25">
      <c r="A739" s="2">
        <v>43965</v>
      </c>
      <c r="B739" s="3" t="s">
        <v>15</v>
      </c>
      <c r="E739" s="3">
        <v>125</v>
      </c>
      <c r="F739" s="3">
        <v>20247</v>
      </c>
      <c r="G739" s="3">
        <v>18812</v>
      </c>
      <c r="I739" s="3">
        <f t="shared" si="11"/>
        <v>20</v>
      </c>
    </row>
    <row r="740" spans="1:9" x14ac:dyDescent="0.25">
      <c r="A740" s="2">
        <v>43965</v>
      </c>
      <c r="B740" s="3" t="s">
        <v>14</v>
      </c>
      <c r="E740" s="3">
        <v>129</v>
      </c>
      <c r="F740" s="3">
        <v>15804</v>
      </c>
      <c r="G740" s="3">
        <v>14738</v>
      </c>
      <c r="I740" s="3">
        <f t="shared" si="11"/>
        <v>20</v>
      </c>
    </row>
    <row r="741" spans="1:9" x14ac:dyDescent="0.25">
      <c r="A741" s="2">
        <v>43965</v>
      </c>
      <c r="B741" s="3" t="s">
        <v>12</v>
      </c>
      <c r="E741" s="3">
        <v>10</v>
      </c>
      <c r="F741" s="3">
        <v>627</v>
      </c>
      <c r="G741" s="3">
        <v>545</v>
      </c>
      <c r="I741" s="3">
        <f t="shared" si="11"/>
        <v>20</v>
      </c>
    </row>
    <row r="742" spans="1:9" x14ac:dyDescent="0.25">
      <c r="A742" s="2">
        <v>43966</v>
      </c>
      <c r="B742" s="3" t="s">
        <v>16</v>
      </c>
      <c r="E742" s="3">
        <v>36</v>
      </c>
      <c r="F742" s="3">
        <v>4862</v>
      </c>
      <c r="G742" s="3">
        <v>4476</v>
      </c>
      <c r="I742" s="3">
        <f t="shared" si="11"/>
        <v>20</v>
      </c>
    </row>
    <row r="743" spans="1:9" x14ac:dyDescent="0.25">
      <c r="A743" s="2">
        <v>43966</v>
      </c>
      <c r="B743" s="3" t="s">
        <v>11</v>
      </c>
      <c r="E743" s="3">
        <v>31</v>
      </c>
      <c r="F743" s="3">
        <v>5184</v>
      </c>
      <c r="G743" s="3">
        <v>4778</v>
      </c>
      <c r="I743" s="3">
        <f t="shared" si="11"/>
        <v>20</v>
      </c>
    </row>
    <row r="744" spans="1:9" x14ac:dyDescent="0.25">
      <c r="A744" s="2">
        <v>43966</v>
      </c>
      <c r="B744" s="3" t="s">
        <v>17</v>
      </c>
      <c r="E744" s="3">
        <v>21</v>
      </c>
      <c r="F744" s="3">
        <v>2255</v>
      </c>
      <c r="G744" s="3">
        <v>2045</v>
      </c>
      <c r="I744" s="3">
        <f t="shared" si="11"/>
        <v>20</v>
      </c>
    </row>
    <row r="745" spans="1:9" x14ac:dyDescent="0.25">
      <c r="A745" s="2">
        <v>43966</v>
      </c>
      <c r="B745" s="3" t="s">
        <v>10</v>
      </c>
      <c r="E745" s="3">
        <v>21</v>
      </c>
      <c r="F745" s="3">
        <v>1926</v>
      </c>
      <c r="G745" s="3">
        <v>1742</v>
      </c>
      <c r="I745" s="3">
        <f t="shared" si="11"/>
        <v>20</v>
      </c>
    </row>
    <row r="746" spans="1:9" x14ac:dyDescent="0.25">
      <c r="A746" s="2">
        <v>43966</v>
      </c>
      <c r="B746" s="3" t="s">
        <v>20</v>
      </c>
      <c r="E746" s="3">
        <v>19</v>
      </c>
      <c r="F746" s="3">
        <v>1780</v>
      </c>
      <c r="G746" s="3">
        <v>1615</v>
      </c>
      <c r="I746" s="3">
        <f t="shared" si="11"/>
        <v>20</v>
      </c>
    </row>
    <row r="747" spans="1:9" x14ac:dyDescent="0.25">
      <c r="A747" s="2">
        <v>43966</v>
      </c>
      <c r="B747" s="3" t="s">
        <v>22</v>
      </c>
      <c r="E747" s="3">
        <v>54</v>
      </c>
      <c r="F747" s="3">
        <v>12791</v>
      </c>
      <c r="G747" s="3">
        <v>11950</v>
      </c>
      <c r="I747" s="3">
        <f t="shared" si="11"/>
        <v>20</v>
      </c>
    </row>
    <row r="748" spans="1:9" x14ac:dyDescent="0.25">
      <c r="A748" s="2">
        <v>43966</v>
      </c>
      <c r="B748" s="3" t="s">
        <v>21</v>
      </c>
      <c r="E748" s="3">
        <v>60</v>
      </c>
      <c r="F748" s="3">
        <v>13544</v>
      </c>
      <c r="G748" s="3">
        <v>12643</v>
      </c>
      <c r="I748" s="3">
        <f t="shared" si="11"/>
        <v>20</v>
      </c>
    </row>
    <row r="749" spans="1:9" x14ac:dyDescent="0.25">
      <c r="A749" s="2">
        <v>43966</v>
      </c>
      <c r="B749" s="3" t="s">
        <v>13</v>
      </c>
      <c r="E749" s="3">
        <v>19</v>
      </c>
      <c r="F749" s="3">
        <v>1940</v>
      </c>
      <c r="G749" s="3">
        <v>1715</v>
      </c>
      <c r="I749" s="3">
        <f t="shared" si="11"/>
        <v>20</v>
      </c>
    </row>
    <row r="750" spans="1:9" x14ac:dyDescent="0.25">
      <c r="A750" s="2">
        <v>43966</v>
      </c>
      <c r="B750" s="3" t="s">
        <v>23</v>
      </c>
      <c r="E750" s="3">
        <v>16</v>
      </c>
      <c r="F750" s="3">
        <v>817</v>
      </c>
      <c r="G750" s="3">
        <v>718</v>
      </c>
      <c r="I750" s="3">
        <f t="shared" si="11"/>
        <v>20</v>
      </c>
    </row>
    <row r="751" spans="1:9" x14ac:dyDescent="0.25">
      <c r="A751" s="2">
        <v>43966</v>
      </c>
      <c r="B751" s="3" t="s">
        <v>18</v>
      </c>
      <c r="E751" s="3">
        <v>15</v>
      </c>
      <c r="F751" s="3">
        <v>980</v>
      </c>
      <c r="G751" s="3">
        <v>867</v>
      </c>
      <c r="I751" s="3">
        <f t="shared" si="11"/>
        <v>20</v>
      </c>
    </row>
    <row r="752" spans="1:9" x14ac:dyDescent="0.25">
      <c r="A752" s="2">
        <v>43966</v>
      </c>
      <c r="B752" s="3" t="s">
        <v>19</v>
      </c>
      <c r="E752" s="3">
        <v>15</v>
      </c>
      <c r="F752" s="3">
        <v>688</v>
      </c>
      <c r="G752" s="3">
        <v>598</v>
      </c>
      <c r="I752" s="3">
        <f t="shared" si="11"/>
        <v>20</v>
      </c>
    </row>
    <row r="753" spans="1:9" x14ac:dyDescent="0.25">
      <c r="A753" s="2">
        <v>43966</v>
      </c>
      <c r="B753" s="3" t="s">
        <v>15</v>
      </c>
      <c r="E753" s="3">
        <v>125</v>
      </c>
      <c r="F753" s="3">
        <v>21862</v>
      </c>
      <c r="G753" s="3">
        <v>20235</v>
      </c>
      <c r="I753" s="3">
        <f t="shared" si="11"/>
        <v>20</v>
      </c>
    </row>
    <row r="754" spans="1:9" x14ac:dyDescent="0.25">
      <c r="A754" s="2">
        <v>43966</v>
      </c>
      <c r="B754" s="3" t="s">
        <v>14</v>
      </c>
      <c r="E754" s="3">
        <v>129</v>
      </c>
      <c r="F754" s="3">
        <v>17808</v>
      </c>
      <c r="G754" s="3">
        <v>16486</v>
      </c>
      <c r="I754" s="3">
        <f t="shared" si="11"/>
        <v>20</v>
      </c>
    </row>
    <row r="755" spans="1:9" x14ac:dyDescent="0.25">
      <c r="A755" s="2">
        <v>43966</v>
      </c>
      <c r="B755" s="3" t="s">
        <v>12</v>
      </c>
      <c r="E755" s="3">
        <v>10</v>
      </c>
      <c r="F755" s="3">
        <v>743</v>
      </c>
      <c r="G755" s="3">
        <v>652</v>
      </c>
      <c r="I755" s="3">
        <f t="shared" si="11"/>
        <v>20</v>
      </c>
    </row>
    <row r="756" spans="1:9" x14ac:dyDescent="0.25">
      <c r="A756" s="2">
        <v>43967</v>
      </c>
      <c r="B756" s="3" t="s">
        <v>16</v>
      </c>
      <c r="E756" s="3">
        <v>36</v>
      </c>
      <c r="F756" s="3">
        <v>5286</v>
      </c>
      <c r="G756" s="3">
        <v>4867</v>
      </c>
      <c r="I756" s="3">
        <f t="shared" si="11"/>
        <v>20</v>
      </c>
    </row>
    <row r="757" spans="1:9" x14ac:dyDescent="0.25">
      <c r="A757" s="2">
        <v>43967</v>
      </c>
      <c r="B757" s="3" t="s">
        <v>11</v>
      </c>
      <c r="E757" s="3">
        <v>31</v>
      </c>
      <c r="F757" s="3">
        <v>5593</v>
      </c>
      <c r="G757" s="3">
        <v>5177</v>
      </c>
      <c r="I757" s="3">
        <f t="shared" si="11"/>
        <v>20</v>
      </c>
    </row>
    <row r="758" spans="1:9" x14ac:dyDescent="0.25">
      <c r="A758" s="2">
        <v>43967</v>
      </c>
      <c r="B758" s="3" t="s">
        <v>17</v>
      </c>
      <c r="E758" s="3">
        <v>21</v>
      </c>
      <c r="F758" s="3">
        <v>2427</v>
      </c>
      <c r="G758" s="3">
        <v>2213</v>
      </c>
      <c r="I758" s="3">
        <f t="shared" si="11"/>
        <v>20</v>
      </c>
    </row>
    <row r="759" spans="1:9" x14ac:dyDescent="0.25">
      <c r="A759" s="2">
        <v>43967</v>
      </c>
      <c r="B759" s="3" t="s">
        <v>10</v>
      </c>
      <c r="E759" s="3">
        <v>21</v>
      </c>
      <c r="F759" s="3">
        <v>2145</v>
      </c>
      <c r="G759" s="3">
        <v>1947</v>
      </c>
      <c r="I759" s="3">
        <f t="shared" si="11"/>
        <v>20</v>
      </c>
    </row>
    <row r="760" spans="1:9" x14ac:dyDescent="0.25">
      <c r="A760" s="2">
        <v>43967</v>
      </c>
      <c r="B760" s="3" t="s">
        <v>20</v>
      </c>
      <c r="E760" s="3">
        <v>19</v>
      </c>
      <c r="F760" s="3">
        <v>2039</v>
      </c>
      <c r="G760" s="3">
        <v>1868</v>
      </c>
      <c r="I760" s="3">
        <f t="shared" si="11"/>
        <v>20</v>
      </c>
    </row>
    <row r="761" spans="1:9" x14ac:dyDescent="0.25">
      <c r="A761" s="2">
        <v>43967</v>
      </c>
      <c r="B761" s="3" t="s">
        <v>22</v>
      </c>
      <c r="E761" s="3">
        <v>54</v>
      </c>
      <c r="F761" s="3">
        <v>13170</v>
      </c>
      <c r="G761" s="3">
        <v>12299</v>
      </c>
      <c r="I761" s="3">
        <f t="shared" si="11"/>
        <v>20</v>
      </c>
    </row>
    <row r="762" spans="1:9" x14ac:dyDescent="0.25">
      <c r="A762" s="2">
        <v>43967</v>
      </c>
      <c r="B762" s="3" t="s">
        <v>21</v>
      </c>
      <c r="E762" s="3">
        <v>60</v>
      </c>
      <c r="F762" s="3">
        <v>14049</v>
      </c>
      <c r="G762" s="3">
        <v>13118</v>
      </c>
      <c r="I762" s="3">
        <f t="shared" si="11"/>
        <v>20</v>
      </c>
    </row>
    <row r="763" spans="1:9" x14ac:dyDescent="0.25">
      <c r="A763" s="2">
        <v>43967</v>
      </c>
      <c r="B763" s="3" t="s">
        <v>13</v>
      </c>
      <c r="E763" s="3">
        <v>19</v>
      </c>
      <c r="F763" s="3">
        <v>2080</v>
      </c>
      <c r="G763" s="3">
        <v>1844</v>
      </c>
      <c r="I763" s="3">
        <f t="shared" si="11"/>
        <v>20</v>
      </c>
    </row>
    <row r="764" spans="1:9" x14ac:dyDescent="0.25">
      <c r="A764" s="2">
        <v>43967</v>
      </c>
      <c r="B764" s="3" t="s">
        <v>23</v>
      </c>
      <c r="E764" s="3">
        <v>16</v>
      </c>
      <c r="F764" s="3">
        <v>920</v>
      </c>
      <c r="G764" s="3">
        <v>818</v>
      </c>
      <c r="I764" s="3">
        <f t="shared" si="11"/>
        <v>20</v>
      </c>
    </row>
    <row r="765" spans="1:9" x14ac:dyDescent="0.25">
      <c r="A765" s="2">
        <v>43967</v>
      </c>
      <c r="B765" s="3" t="s">
        <v>18</v>
      </c>
      <c r="E765" s="3">
        <v>15</v>
      </c>
      <c r="F765" s="3">
        <v>1111</v>
      </c>
      <c r="G765" s="3">
        <v>992</v>
      </c>
      <c r="I765" s="3">
        <f t="shared" si="11"/>
        <v>20</v>
      </c>
    </row>
    <row r="766" spans="1:9" x14ac:dyDescent="0.25">
      <c r="A766" s="2">
        <v>43967</v>
      </c>
      <c r="B766" s="3" t="s">
        <v>19</v>
      </c>
      <c r="E766" s="3">
        <v>15</v>
      </c>
      <c r="F766" s="3">
        <v>747</v>
      </c>
      <c r="G766" s="3">
        <v>647</v>
      </c>
      <c r="I766" s="3">
        <f t="shared" si="11"/>
        <v>20</v>
      </c>
    </row>
    <row r="767" spans="1:9" x14ac:dyDescent="0.25">
      <c r="A767" s="2">
        <v>43967</v>
      </c>
      <c r="B767" s="3" t="s">
        <v>15</v>
      </c>
      <c r="E767" s="3">
        <v>125</v>
      </c>
      <c r="F767" s="3">
        <v>22291</v>
      </c>
      <c r="G767" s="3">
        <v>20635</v>
      </c>
      <c r="I767" s="3">
        <f t="shared" si="11"/>
        <v>20</v>
      </c>
    </row>
    <row r="768" spans="1:9" x14ac:dyDescent="0.25">
      <c r="A768" s="2">
        <v>43967</v>
      </c>
      <c r="B768" s="3" t="s">
        <v>14</v>
      </c>
      <c r="E768" s="3">
        <v>129</v>
      </c>
      <c r="F768" s="3">
        <v>17914</v>
      </c>
      <c r="G768" s="3">
        <v>16631</v>
      </c>
      <c r="I768" s="3">
        <f t="shared" si="11"/>
        <v>20</v>
      </c>
    </row>
    <row r="769" spans="1:9" x14ac:dyDescent="0.25">
      <c r="A769" s="2">
        <v>43967</v>
      </c>
      <c r="B769" s="3" t="s">
        <v>12</v>
      </c>
      <c r="E769" s="3">
        <v>10</v>
      </c>
      <c r="F769" s="3">
        <v>760</v>
      </c>
      <c r="G769" s="3">
        <v>672</v>
      </c>
      <c r="I769" s="3">
        <f t="shared" si="11"/>
        <v>20</v>
      </c>
    </row>
    <row r="770" spans="1:9" x14ac:dyDescent="0.25">
      <c r="A770" s="2">
        <v>43968</v>
      </c>
      <c r="B770" s="3" t="s">
        <v>16</v>
      </c>
      <c r="E770" s="3">
        <v>36</v>
      </c>
      <c r="F770" s="3">
        <v>4918</v>
      </c>
      <c r="G770" s="3">
        <v>4554</v>
      </c>
      <c r="I770" s="3">
        <f t="shared" si="11"/>
        <v>20</v>
      </c>
    </row>
    <row r="771" spans="1:9" x14ac:dyDescent="0.25">
      <c r="A771" s="2">
        <v>43968</v>
      </c>
      <c r="B771" s="3" t="s">
        <v>11</v>
      </c>
      <c r="E771" s="3">
        <v>31</v>
      </c>
      <c r="F771" s="3">
        <v>5206</v>
      </c>
      <c r="G771" s="3">
        <v>4843</v>
      </c>
      <c r="I771" s="3">
        <f t="shared" ref="I771:I834" si="12">WEEKNUM(A771,2)</f>
        <v>20</v>
      </c>
    </row>
    <row r="772" spans="1:9" x14ac:dyDescent="0.25">
      <c r="A772" s="2">
        <v>43968</v>
      </c>
      <c r="B772" s="3" t="s">
        <v>17</v>
      </c>
      <c r="E772" s="3">
        <v>21</v>
      </c>
      <c r="F772" s="3">
        <v>2054</v>
      </c>
      <c r="G772" s="3">
        <v>1883</v>
      </c>
      <c r="I772" s="3">
        <f t="shared" si="12"/>
        <v>20</v>
      </c>
    </row>
    <row r="773" spans="1:9" x14ac:dyDescent="0.25">
      <c r="A773" s="2">
        <v>43968</v>
      </c>
      <c r="B773" s="3" t="s">
        <v>10</v>
      </c>
      <c r="E773" s="3">
        <v>21</v>
      </c>
      <c r="F773" s="3">
        <v>1874</v>
      </c>
      <c r="G773" s="3">
        <v>1705</v>
      </c>
      <c r="I773" s="3">
        <f t="shared" si="12"/>
        <v>20</v>
      </c>
    </row>
    <row r="774" spans="1:9" x14ac:dyDescent="0.25">
      <c r="A774" s="2">
        <v>43968</v>
      </c>
      <c r="B774" s="3" t="s">
        <v>20</v>
      </c>
      <c r="E774" s="3">
        <v>19</v>
      </c>
      <c r="F774" s="3">
        <v>1790</v>
      </c>
      <c r="G774" s="3">
        <v>1633</v>
      </c>
      <c r="I774" s="3">
        <f t="shared" si="12"/>
        <v>20</v>
      </c>
    </row>
    <row r="775" spans="1:9" x14ac:dyDescent="0.25">
      <c r="A775" s="2">
        <v>43968</v>
      </c>
      <c r="B775" s="3" t="s">
        <v>22</v>
      </c>
      <c r="E775" s="3">
        <v>54</v>
      </c>
      <c r="F775" s="3">
        <v>11128</v>
      </c>
      <c r="G775" s="3">
        <v>10467</v>
      </c>
      <c r="I775" s="3">
        <f t="shared" si="12"/>
        <v>20</v>
      </c>
    </row>
    <row r="776" spans="1:9" x14ac:dyDescent="0.25">
      <c r="A776" s="2">
        <v>43968</v>
      </c>
      <c r="B776" s="3" t="s">
        <v>21</v>
      </c>
      <c r="E776" s="3">
        <v>60</v>
      </c>
      <c r="F776" s="3">
        <v>11698</v>
      </c>
      <c r="G776" s="3">
        <v>10989</v>
      </c>
      <c r="I776" s="3">
        <f t="shared" si="12"/>
        <v>20</v>
      </c>
    </row>
    <row r="777" spans="1:9" x14ac:dyDescent="0.25">
      <c r="A777" s="2">
        <v>43968</v>
      </c>
      <c r="B777" s="3" t="s">
        <v>13</v>
      </c>
      <c r="E777" s="3">
        <v>19</v>
      </c>
      <c r="F777" s="3">
        <v>1871</v>
      </c>
      <c r="G777" s="3">
        <v>1660</v>
      </c>
      <c r="I777" s="3">
        <f t="shared" si="12"/>
        <v>20</v>
      </c>
    </row>
    <row r="778" spans="1:9" x14ac:dyDescent="0.25">
      <c r="A778" s="2">
        <v>43968</v>
      </c>
      <c r="B778" s="3" t="s">
        <v>23</v>
      </c>
      <c r="E778" s="3">
        <v>16</v>
      </c>
      <c r="F778" s="3">
        <v>859</v>
      </c>
      <c r="G778" s="3">
        <v>746</v>
      </c>
      <c r="I778" s="3">
        <f t="shared" si="12"/>
        <v>20</v>
      </c>
    </row>
    <row r="779" spans="1:9" x14ac:dyDescent="0.25">
      <c r="A779" s="2">
        <v>43968</v>
      </c>
      <c r="B779" s="3" t="s">
        <v>18</v>
      </c>
      <c r="E779" s="3">
        <v>15</v>
      </c>
      <c r="F779" s="3">
        <v>971</v>
      </c>
      <c r="G779" s="3">
        <v>856</v>
      </c>
      <c r="I779" s="3">
        <f t="shared" si="12"/>
        <v>20</v>
      </c>
    </row>
    <row r="780" spans="1:9" x14ac:dyDescent="0.25">
      <c r="A780" s="2">
        <v>43968</v>
      </c>
      <c r="B780" s="3" t="s">
        <v>19</v>
      </c>
      <c r="E780" s="3">
        <v>15</v>
      </c>
      <c r="F780" s="3">
        <v>692</v>
      </c>
      <c r="G780" s="3">
        <v>591</v>
      </c>
      <c r="I780" s="3">
        <f t="shared" si="12"/>
        <v>20</v>
      </c>
    </row>
    <row r="781" spans="1:9" x14ac:dyDescent="0.25">
      <c r="A781" s="2">
        <v>43968</v>
      </c>
      <c r="B781" s="3" t="s">
        <v>15</v>
      </c>
      <c r="E781" s="3">
        <v>125</v>
      </c>
      <c r="F781" s="3">
        <v>20079</v>
      </c>
      <c r="G781" s="3">
        <v>18721</v>
      </c>
      <c r="I781" s="3">
        <f t="shared" si="12"/>
        <v>20</v>
      </c>
    </row>
    <row r="782" spans="1:9" x14ac:dyDescent="0.25">
      <c r="A782" s="2">
        <v>43968</v>
      </c>
      <c r="B782" s="3" t="s">
        <v>14</v>
      </c>
      <c r="E782" s="3">
        <v>129</v>
      </c>
      <c r="F782" s="3">
        <v>15744</v>
      </c>
      <c r="G782" s="3">
        <v>14685</v>
      </c>
      <c r="I782" s="3">
        <f t="shared" si="12"/>
        <v>20</v>
      </c>
    </row>
    <row r="783" spans="1:9" x14ac:dyDescent="0.25">
      <c r="A783" s="2">
        <v>43968</v>
      </c>
      <c r="B783" s="3" t="s">
        <v>12</v>
      </c>
      <c r="E783" s="3">
        <v>10</v>
      </c>
      <c r="F783" s="3">
        <v>591</v>
      </c>
      <c r="G783" s="3">
        <v>513</v>
      </c>
      <c r="I783" s="3">
        <f t="shared" si="12"/>
        <v>20</v>
      </c>
    </row>
    <row r="784" spans="1:9" x14ac:dyDescent="0.25">
      <c r="A784" s="2">
        <v>43969</v>
      </c>
      <c r="B784" s="3" t="s">
        <v>16</v>
      </c>
      <c r="E784" s="3">
        <v>36</v>
      </c>
      <c r="F784" s="3">
        <v>4885</v>
      </c>
      <c r="G784" s="3">
        <v>4502</v>
      </c>
      <c r="I784" s="3">
        <f t="shared" si="12"/>
        <v>21</v>
      </c>
    </row>
    <row r="785" spans="1:9" x14ac:dyDescent="0.25">
      <c r="A785" s="2">
        <v>43969</v>
      </c>
      <c r="B785" s="3" t="s">
        <v>11</v>
      </c>
      <c r="E785" s="3">
        <v>31</v>
      </c>
      <c r="F785" s="3">
        <v>5165</v>
      </c>
      <c r="G785" s="3">
        <v>4813</v>
      </c>
      <c r="I785" s="3">
        <f t="shared" si="12"/>
        <v>21</v>
      </c>
    </row>
    <row r="786" spans="1:9" x14ac:dyDescent="0.25">
      <c r="A786" s="2">
        <v>43969</v>
      </c>
      <c r="B786" s="3" t="s">
        <v>17</v>
      </c>
      <c r="E786" s="3">
        <v>21</v>
      </c>
      <c r="F786" s="3">
        <v>2136</v>
      </c>
      <c r="G786" s="3">
        <v>1947</v>
      </c>
      <c r="I786" s="3">
        <f t="shared" si="12"/>
        <v>21</v>
      </c>
    </row>
    <row r="787" spans="1:9" x14ac:dyDescent="0.25">
      <c r="A787" s="2">
        <v>43969</v>
      </c>
      <c r="B787" s="3" t="s">
        <v>10</v>
      </c>
      <c r="E787" s="3">
        <v>21</v>
      </c>
      <c r="F787" s="3">
        <v>1834</v>
      </c>
      <c r="G787" s="3">
        <v>1660</v>
      </c>
      <c r="I787" s="3">
        <f t="shared" si="12"/>
        <v>21</v>
      </c>
    </row>
    <row r="788" spans="1:9" x14ac:dyDescent="0.25">
      <c r="A788" s="2">
        <v>43969</v>
      </c>
      <c r="B788" s="3" t="s">
        <v>20</v>
      </c>
      <c r="E788" s="3">
        <v>19</v>
      </c>
      <c r="F788" s="3">
        <v>1741</v>
      </c>
      <c r="G788" s="3">
        <v>1597</v>
      </c>
      <c r="I788" s="3">
        <f t="shared" si="12"/>
        <v>21</v>
      </c>
    </row>
    <row r="789" spans="1:9" x14ac:dyDescent="0.25">
      <c r="A789" s="2">
        <v>43969</v>
      </c>
      <c r="B789" s="3" t="s">
        <v>22</v>
      </c>
      <c r="E789" s="3">
        <v>54</v>
      </c>
      <c r="F789" s="3">
        <v>12012</v>
      </c>
      <c r="G789" s="3">
        <v>11308</v>
      </c>
      <c r="I789" s="3">
        <f t="shared" si="12"/>
        <v>21</v>
      </c>
    </row>
    <row r="790" spans="1:9" x14ac:dyDescent="0.25">
      <c r="A790" s="2">
        <v>43969</v>
      </c>
      <c r="B790" s="3" t="s">
        <v>21</v>
      </c>
      <c r="E790" s="3">
        <v>60</v>
      </c>
      <c r="F790" s="3">
        <v>12460</v>
      </c>
      <c r="G790" s="3">
        <v>11665</v>
      </c>
      <c r="I790" s="3">
        <f t="shared" si="12"/>
        <v>21</v>
      </c>
    </row>
    <row r="791" spans="1:9" x14ac:dyDescent="0.25">
      <c r="A791" s="2">
        <v>43969</v>
      </c>
      <c r="B791" s="3" t="s">
        <v>13</v>
      </c>
      <c r="E791" s="3">
        <v>19</v>
      </c>
      <c r="F791" s="3">
        <v>1858</v>
      </c>
      <c r="G791" s="3">
        <v>1648</v>
      </c>
      <c r="I791" s="3">
        <f t="shared" si="12"/>
        <v>21</v>
      </c>
    </row>
    <row r="792" spans="1:9" x14ac:dyDescent="0.25">
      <c r="A792" s="2">
        <v>43969</v>
      </c>
      <c r="B792" s="3" t="s">
        <v>23</v>
      </c>
      <c r="E792" s="3">
        <v>16</v>
      </c>
      <c r="F792" s="3">
        <v>864</v>
      </c>
      <c r="G792" s="3">
        <v>765</v>
      </c>
      <c r="I792" s="3">
        <f t="shared" si="12"/>
        <v>21</v>
      </c>
    </row>
    <row r="793" spans="1:9" x14ac:dyDescent="0.25">
      <c r="A793" s="2">
        <v>43969</v>
      </c>
      <c r="B793" s="3" t="s">
        <v>18</v>
      </c>
      <c r="E793" s="3">
        <v>16</v>
      </c>
      <c r="F793" s="3">
        <v>925</v>
      </c>
      <c r="G793" s="3">
        <v>816</v>
      </c>
      <c r="I793" s="3">
        <f t="shared" si="12"/>
        <v>21</v>
      </c>
    </row>
    <row r="794" spans="1:9" x14ac:dyDescent="0.25">
      <c r="A794" s="2">
        <v>43969</v>
      </c>
      <c r="B794" s="3" t="s">
        <v>19</v>
      </c>
      <c r="E794" s="3">
        <v>15</v>
      </c>
      <c r="F794" s="3">
        <v>729</v>
      </c>
      <c r="G794" s="3">
        <v>636</v>
      </c>
      <c r="I794" s="3">
        <f t="shared" si="12"/>
        <v>21</v>
      </c>
    </row>
    <row r="795" spans="1:9" x14ac:dyDescent="0.25">
      <c r="A795" s="2">
        <v>43969</v>
      </c>
      <c r="B795" s="3" t="s">
        <v>15</v>
      </c>
      <c r="E795" s="3">
        <v>125</v>
      </c>
      <c r="F795" s="3">
        <v>20449</v>
      </c>
      <c r="G795" s="3">
        <v>19060</v>
      </c>
      <c r="I795" s="3">
        <f t="shared" si="12"/>
        <v>21</v>
      </c>
    </row>
    <row r="796" spans="1:9" x14ac:dyDescent="0.25">
      <c r="A796" s="2">
        <v>43969</v>
      </c>
      <c r="B796" s="3" t="s">
        <v>14</v>
      </c>
      <c r="E796" s="3">
        <v>129</v>
      </c>
      <c r="F796" s="3">
        <v>16110</v>
      </c>
      <c r="G796" s="3">
        <v>14992</v>
      </c>
      <c r="I796" s="3">
        <f t="shared" si="12"/>
        <v>21</v>
      </c>
    </row>
    <row r="797" spans="1:9" x14ac:dyDescent="0.25">
      <c r="A797" s="2">
        <v>43969</v>
      </c>
      <c r="B797" s="3" t="s">
        <v>12</v>
      </c>
      <c r="E797" s="3">
        <v>10</v>
      </c>
      <c r="F797" s="3">
        <v>645</v>
      </c>
      <c r="G797" s="3">
        <v>565</v>
      </c>
      <c r="I797" s="3">
        <f t="shared" si="12"/>
        <v>21</v>
      </c>
    </row>
    <row r="798" spans="1:9" x14ac:dyDescent="0.25">
      <c r="A798" s="2">
        <v>43970</v>
      </c>
      <c r="B798" s="3" t="s">
        <v>16</v>
      </c>
      <c r="E798" s="3">
        <v>36</v>
      </c>
      <c r="F798" s="3">
        <v>5094</v>
      </c>
      <c r="G798" s="3">
        <v>4716</v>
      </c>
      <c r="I798" s="3">
        <f t="shared" si="12"/>
        <v>21</v>
      </c>
    </row>
    <row r="799" spans="1:9" x14ac:dyDescent="0.25">
      <c r="A799" s="2">
        <v>43970</v>
      </c>
      <c r="B799" s="3" t="s">
        <v>11</v>
      </c>
      <c r="E799" s="3">
        <v>31</v>
      </c>
      <c r="F799" s="3">
        <v>5389</v>
      </c>
      <c r="G799" s="3">
        <v>5024</v>
      </c>
      <c r="I799" s="3">
        <f t="shared" si="12"/>
        <v>21</v>
      </c>
    </row>
    <row r="800" spans="1:9" x14ac:dyDescent="0.25">
      <c r="A800" s="2">
        <v>43970</v>
      </c>
      <c r="B800" s="3" t="s">
        <v>17</v>
      </c>
      <c r="E800" s="3">
        <v>21</v>
      </c>
      <c r="F800" s="3">
        <v>2245</v>
      </c>
      <c r="G800" s="3">
        <v>2053</v>
      </c>
      <c r="I800" s="3">
        <f t="shared" si="12"/>
        <v>21</v>
      </c>
    </row>
    <row r="801" spans="1:9" x14ac:dyDescent="0.25">
      <c r="A801" s="2">
        <v>43970</v>
      </c>
      <c r="B801" s="3" t="s">
        <v>10</v>
      </c>
      <c r="E801" s="3">
        <v>21</v>
      </c>
      <c r="F801" s="3">
        <v>1860</v>
      </c>
      <c r="G801" s="3">
        <v>1704</v>
      </c>
      <c r="I801" s="3">
        <f t="shared" si="12"/>
        <v>21</v>
      </c>
    </row>
    <row r="802" spans="1:9" x14ac:dyDescent="0.25">
      <c r="A802" s="2">
        <v>43970</v>
      </c>
      <c r="B802" s="3" t="s">
        <v>20</v>
      </c>
      <c r="E802" s="3">
        <v>19</v>
      </c>
      <c r="F802" s="3">
        <v>1831</v>
      </c>
      <c r="G802" s="3">
        <v>1667</v>
      </c>
      <c r="I802" s="3">
        <f t="shared" si="12"/>
        <v>21</v>
      </c>
    </row>
    <row r="803" spans="1:9" x14ac:dyDescent="0.25">
      <c r="A803" s="2">
        <v>43970</v>
      </c>
      <c r="B803" s="3" t="s">
        <v>22</v>
      </c>
      <c r="E803" s="3">
        <v>54</v>
      </c>
      <c r="F803" s="3">
        <v>13070</v>
      </c>
      <c r="G803" s="3">
        <v>12244</v>
      </c>
      <c r="I803" s="3">
        <f t="shared" si="12"/>
        <v>21</v>
      </c>
    </row>
    <row r="804" spans="1:9" x14ac:dyDescent="0.25">
      <c r="A804" s="2">
        <v>43970</v>
      </c>
      <c r="B804" s="3" t="s">
        <v>21</v>
      </c>
      <c r="E804" s="3">
        <v>60</v>
      </c>
      <c r="F804" s="3">
        <v>13867</v>
      </c>
      <c r="G804" s="3">
        <v>12987</v>
      </c>
      <c r="I804" s="3">
        <f t="shared" si="12"/>
        <v>21</v>
      </c>
    </row>
    <row r="805" spans="1:9" x14ac:dyDescent="0.25">
      <c r="A805" s="2">
        <v>43970</v>
      </c>
      <c r="B805" s="3" t="s">
        <v>13</v>
      </c>
      <c r="E805" s="3">
        <v>19</v>
      </c>
      <c r="F805" s="3">
        <v>1999</v>
      </c>
      <c r="G805" s="3">
        <v>1799</v>
      </c>
      <c r="I805" s="3">
        <f t="shared" si="12"/>
        <v>21</v>
      </c>
    </row>
    <row r="806" spans="1:9" x14ac:dyDescent="0.25">
      <c r="A806" s="2">
        <v>43970</v>
      </c>
      <c r="B806" s="3" t="s">
        <v>23</v>
      </c>
      <c r="E806" s="3">
        <v>17</v>
      </c>
      <c r="F806" s="3">
        <v>857</v>
      </c>
      <c r="G806" s="3">
        <v>757</v>
      </c>
      <c r="I806" s="3">
        <f t="shared" si="12"/>
        <v>21</v>
      </c>
    </row>
    <row r="807" spans="1:9" x14ac:dyDescent="0.25">
      <c r="A807" s="2">
        <v>43970</v>
      </c>
      <c r="B807" s="3" t="s">
        <v>18</v>
      </c>
      <c r="E807" s="3">
        <v>16</v>
      </c>
      <c r="F807" s="3">
        <v>1012</v>
      </c>
      <c r="G807" s="3">
        <v>900</v>
      </c>
      <c r="I807" s="3">
        <f t="shared" si="12"/>
        <v>21</v>
      </c>
    </row>
    <row r="808" spans="1:9" x14ac:dyDescent="0.25">
      <c r="A808" s="2">
        <v>43970</v>
      </c>
      <c r="B808" s="3" t="s">
        <v>19</v>
      </c>
      <c r="E808" s="3">
        <v>15</v>
      </c>
      <c r="F808" s="3">
        <v>930</v>
      </c>
      <c r="G808" s="3">
        <v>827</v>
      </c>
      <c r="I808" s="3">
        <f t="shared" si="12"/>
        <v>21</v>
      </c>
    </row>
    <row r="809" spans="1:9" x14ac:dyDescent="0.25">
      <c r="A809" s="2">
        <v>43970</v>
      </c>
      <c r="B809" s="3" t="s">
        <v>15</v>
      </c>
      <c r="E809" s="3">
        <v>125</v>
      </c>
      <c r="F809" s="3">
        <v>20771</v>
      </c>
      <c r="G809" s="3">
        <v>19338</v>
      </c>
      <c r="I809" s="3">
        <f t="shared" si="12"/>
        <v>21</v>
      </c>
    </row>
    <row r="810" spans="1:9" x14ac:dyDescent="0.25">
      <c r="A810" s="2">
        <v>43970</v>
      </c>
      <c r="B810" s="3" t="s">
        <v>14</v>
      </c>
      <c r="E810" s="3">
        <v>129</v>
      </c>
      <c r="F810" s="3">
        <v>16191</v>
      </c>
      <c r="G810" s="3">
        <v>15102</v>
      </c>
      <c r="I810" s="3">
        <f t="shared" si="12"/>
        <v>21</v>
      </c>
    </row>
    <row r="811" spans="1:9" x14ac:dyDescent="0.25">
      <c r="A811" s="2">
        <v>43970</v>
      </c>
      <c r="B811" s="3" t="s">
        <v>12</v>
      </c>
      <c r="E811" s="3">
        <v>10</v>
      </c>
      <c r="F811" s="3">
        <v>649</v>
      </c>
      <c r="G811" s="3">
        <v>568</v>
      </c>
      <c r="I811" s="3">
        <f t="shared" si="12"/>
        <v>21</v>
      </c>
    </row>
    <row r="812" spans="1:9" x14ac:dyDescent="0.25">
      <c r="A812" s="2">
        <v>43971</v>
      </c>
      <c r="B812" s="3" t="s">
        <v>16</v>
      </c>
      <c r="E812" s="3">
        <v>36</v>
      </c>
      <c r="F812" s="3">
        <v>5914</v>
      </c>
      <c r="G812" s="3">
        <v>5384</v>
      </c>
      <c r="I812" s="3">
        <f t="shared" si="12"/>
        <v>21</v>
      </c>
    </row>
    <row r="813" spans="1:9" x14ac:dyDescent="0.25">
      <c r="A813" s="2">
        <v>43971</v>
      </c>
      <c r="B813" s="3" t="s">
        <v>11</v>
      </c>
      <c r="E813" s="3">
        <v>31</v>
      </c>
      <c r="F813" s="3">
        <v>5698</v>
      </c>
      <c r="G813" s="3">
        <v>5258</v>
      </c>
      <c r="I813" s="3">
        <f t="shared" si="12"/>
        <v>21</v>
      </c>
    </row>
    <row r="814" spans="1:9" x14ac:dyDescent="0.25">
      <c r="A814" s="2">
        <v>43971</v>
      </c>
      <c r="B814" s="3" t="s">
        <v>17</v>
      </c>
      <c r="E814" s="3">
        <v>21</v>
      </c>
      <c r="F814" s="3">
        <v>2410</v>
      </c>
      <c r="G814" s="3">
        <v>2202</v>
      </c>
      <c r="I814" s="3">
        <f t="shared" si="12"/>
        <v>21</v>
      </c>
    </row>
    <row r="815" spans="1:9" x14ac:dyDescent="0.25">
      <c r="A815" s="2">
        <v>43971</v>
      </c>
      <c r="B815" s="3" t="s">
        <v>10</v>
      </c>
      <c r="E815" s="3">
        <v>21</v>
      </c>
      <c r="F815" s="3">
        <v>1921</v>
      </c>
      <c r="G815" s="3">
        <v>1767</v>
      </c>
      <c r="I815" s="3">
        <f t="shared" si="12"/>
        <v>21</v>
      </c>
    </row>
    <row r="816" spans="1:9" x14ac:dyDescent="0.25">
      <c r="A816" s="2">
        <v>43971</v>
      </c>
      <c r="B816" s="3" t="s">
        <v>20</v>
      </c>
      <c r="E816" s="3">
        <v>19</v>
      </c>
      <c r="F816" s="3">
        <v>1823</v>
      </c>
      <c r="G816" s="3">
        <v>1678</v>
      </c>
      <c r="I816" s="3">
        <f t="shared" si="12"/>
        <v>21</v>
      </c>
    </row>
    <row r="817" spans="1:9" x14ac:dyDescent="0.25">
      <c r="A817" s="2">
        <v>43971</v>
      </c>
      <c r="B817" s="3" t="s">
        <v>22</v>
      </c>
      <c r="E817" s="3">
        <v>54</v>
      </c>
      <c r="F817" s="3">
        <v>13298</v>
      </c>
      <c r="G817" s="3">
        <v>12428</v>
      </c>
      <c r="I817" s="3">
        <f t="shared" si="12"/>
        <v>21</v>
      </c>
    </row>
    <row r="818" spans="1:9" x14ac:dyDescent="0.25">
      <c r="A818" s="2">
        <v>43971</v>
      </c>
      <c r="B818" s="3" t="s">
        <v>21</v>
      </c>
      <c r="E818" s="3">
        <v>60</v>
      </c>
      <c r="F818" s="3">
        <v>13792</v>
      </c>
      <c r="G818" s="3">
        <v>12834</v>
      </c>
      <c r="I818" s="3">
        <f t="shared" si="12"/>
        <v>21</v>
      </c>
    </row>
    <row r="819" spans="1:9" x14ac:dyDescent="0.25">
      <c r="A819" s="2">
        <v>43971</v>
      </c>
      <c r="B819" s="3" t="s">
        <v>13</v>
      </c>
      <c r="E819" s="3">
        <v>19</v>
      </c>
      <c r="F819" s="3">
        <v>1889</v>
      </c>
      <c r="G819" s="3">
        <v>1690</v>
      </c>
      <c r="I819" s="3">
        <f t="shared" si="12"/>
        <v>21</v>
      </c>
    </row>
    <row r="820" spans="1:9" x14ac:dyDescent="0.25">
      <c r="A820" s="2">
        <v>43971</v>
      </c>
      <c r="B820" s="3" t="s">
        <v>23</v>
      </c>
      <c r="E820" s="3">
        <v>17</v>
      </c>
      <c r="F820" s="3">
        <v>890</v>
      </c>
      <c r="G820" s="3">
        <v>794</v>
      </c>
      <c r="I820" s="3">
        <f t="shared" si="12"/>
        <v>21</v>
      </c>
    </row>
    <row r="821" spans="1:9" x14ac:dyDescent="0.25">
      <c r="A821" s="2">
        <v>43971</v>
      </c>
      <c r="B821" s="3" t="s">
        <v>18</v>
      </c>
      <c r="E821" s="3">
        <v>16</v>
      </c>
      <c r="F821" s="3">
        <v>1050</v>
      </c>
      <c r="G821" s="3">
        <v>938</v>
      </c>
      <c r="I821" s="3">
        <f t="shared" si="12"/>
        <v>21</v>
      </c>
    </row>
    <row r="822" spans="1:9" x14ac:dyDescent="0.25">
      <c r="A822" s="2">
        <v>43971</v>
      </c>
      <c r="B822" s="3" t="s">
        <v>19</v>
      </c>
      <c r="E822" s="3">
        <v>15</v>
      </c>
      <c r="F822" s="3">
        <v>760</v>
      </c>
      <c r="G822" s="3">
        <v>664</v>
      </c>
      <c r="I822" s="3">
        <f t="shared" si="12"/>
        <v>21</v>
      </c>
    </row>
    <row r="823" spans="1:9" x14ac:dyDescent="0.25">
      <c r="A823" s="2">
        <v>43971</v>
      </c>
      <c r="B823" s="3" t="s">
        <v>15</v>
      </c>
      <c r="E823" s="3">
        <v>125</v>
      </c>
      <c r="F823" s="3">
        <v>21674</v>
      </c>
      <c r="G823" s="3">
        <v>20155</v>
      </c>
      <c r="I823" s="3">
        <f t="shared" si="12"/>
        <v>21</v>
      </c>
    </row>
    <row r="824" spans="1:9" x14ac:dyDescent="0.25">
      <c r="A824" s="2">
        <v>43971</v>
      </c>
      <c r="B824" s="3" t="s">
        <v>14</v>
      </c>
      <c r="E824" s="3">
        <v>129</v>
      </c>
      <c r="F824" s="3">
        <v>17095</v>
      </c>
      <c r="G824" s="3">
        <v>15919</v>
      </c>
      <c r="I824" s="3">
        <f t="shared" si="12"/>
        <v>21</v>
      </c>
    </row>
    <row r="825" spans="1:9" x14ac:dyDescent="0.25">
      <c r="A825" s="2">
        <v>43971</v>
      </c>
      <c r="B825" s="3" t="s">
        <v>12</v>
      </c>
      <c r="E825" s="3">
        <v>10</v>
      </c>
      <c r="F825" s="3">
        <v>745</v>
      </c>
      <c r="G825" s="3">
        <v>654</v>
      </c>
      <c r="I825" s="3">
        <f t="shared" si="12"/>
        <v>21</v>
      </c>
    </row>
    <row r="826" spans="1:9" x14ac:dyDescent="0.25">
      <c r="A826" s="2">
        <v>43972</v>
      </c>
      <c r="B826" s="3" t="s">
        <v>16</v>
      </c>
      <c r="E826" s="3">
        <v>36</v>
      </c>
      <c r="F826" s="3">
        <v>4816</v>
      </c>
      <c r="G826" s="3">
        <v>4452</v>
      </c>
      <c r="I826" s="3">
        <f t="shared" si="12"/>
        <v>21</v>
      </c>
    </row>
    <row r="827" spans="1:9" x14ac:dyDescent="0.25">
      <c r="A827" s="2">
        <v>43972</v>
      </c>
      <c r="B827" s="3" t="s">
        <v>11</v>
      </c>
      <c r="E827" s="3">
        <v>31</v>
      </c>
      <c r="F827" s="3">
        <v>5207</v>
      </c>
      <c r="G827" s="3">
        <v>4868</v>
      </c>
      <c r="I827" s="3">
        <f t="shared" si="12"/>
        <v>21</v>
      </c>
    </row>
    <row r="828" spans="1:9" x14ac:dyDescent="0.25">
      <c r="A828" s="2">
        <v>43972</v>
      </c>
      <c r="B828" s="3" t="s">
        <v>17</v>
      </c>
      <c r="E828" s="3">
        <v>21</v>
      </c>
      <c r="F828" s="3">
        <v>2335</v>
      </c>
      <c r="G828" s="3">
        <v>2126</v>
      </c>
      <c r="I828" s="3">
        <f t="shared" si="12"/>
        <v>21</v>
      </c>
    </row>
    <row r="829" spans="1:9" x14ac:dyDescent="0.25">
      <c r="A829" s="2">
        <v>43972</v>
      </c>
      <c r="B829" s="3" t="s">
        <v>10</v>
      </c>
      <c r="E829" s="3">
        <v>21</v>
      </c>
      <c r="F829" s="3">
        <v>1787</v>
      </c>
      <c r="G829" s="3">
        <v>1626</v>
      </c>
      <c r="I829" s="3">
        <f t="shared" si="12"/>
        <v>21</v>
      </c>
    </row>
    <row r="830" spans="1:9" x14ac:dyDescent="0.25">
      <c r="A830" s="2">
        <v>43972</v>
      </c>
      <c r="B830" s="3" t="s">
        <v>20</v>
      </c>
      <c r="E830" s="3">
        <v>19</v>
      </c>
      <c r="F830" s="3">
        <v>1650</v>
      </c>
      <c r="G830" s="3">
        <v>1505</v>
      </c>
      <c r="I830" s="3">
        <f t="shared" si="12"/>
        <v>21</v>
      </c>
    </row>
    <row r="831" spans="1:9" x14ac:dyDescent="0.25">
      <c r="A831" s="2">
        <v>43972</v>
      </c>
      <c r="B831" s="3" t="s">
        <v>22</v>
      </c>
      <c r="E831" s="3">
        <v>54</v>
      </c>
      <c r="F831" s="3">
        <v>13240</v>
      </c>
      <c r="G831" s="3">
        <v>12360</v>
      </c>
      <c r="I831" s="3">
        <f t="shared" si="12"/>
        <v>21</v>
      </c>
    </row>
    <row r="832" spans="1:9" x14ac:dyDescent="0.25">
      <c r="A832" s="2">
        <v>43972</v>
      </c>
      <c r="B832" s="3" t="s">
        <v>21</v>
      </c>
      <c r="E832" s="3">
        <v>60</v>
      </c>
      <c r="F832" s="3">
        <v>14005</v>
      </c>
      <c r="G832" s="3">
        <v>13002</v>
      </c>
      <c r="I832" s="3">
        <f t="shared" si="12"/>
        <v>21</v>
      </c>
    </row>
    <row r="833" spans="1:9" x14ac:dyDescent="0.25">
      <c r="A833" s="2">
        <v>43972</v>
      </c>
      <c r="B833" s="3" t="s">
        <v>13</v>
      </c>
      <c r="E833" s="3">
        <v>19</v>
      </c>
      <c r="F833" s="3">
        <v>1949</v>
      </c>
      <c r="G833" s="3">
        <v>1724</v>
      </c>
      <c r="I833" s="3">
        <f t="shared" si="12"/>
        <v>21</v>
      </c>
    </row>
    <row r="834" spans="1:9" x14ac:dyDescent="0.25">
      <c r="A834" s="2">
        <v>43972</v>
      </c>
      <c r="B834" s="3" t="s">
        <v>23</v>
      </c>
      <c r="E834" s="3">
        <v>18</v>
      </c>
      <c r="F834" s="3">
        <v>888</v>
      </c>
      <c r="G834" s="3">
        <v>786</v>
      </c>
      <c r="I834" s="3">
        <f t="shared" si="12"/>
        <v>21</v>
      </c>
    </row>
    <row r="835" spans="1:9" x14ac:dyDescent="0.25">
      <c r="A835" s="2">
        <v>43972</v>
      </c>
      <c r="B835" s="3" t="s">
        <v>18</v>
      </c>
      <c r="E835" s="3">
        <v>17</v>
      </c>
      <c r="F835" s="3">
        <v>1045</v>
      </c>
      <c r="G835" s="3">
        <v>930</v>
      </c>
      <c r="I835" s="3">
        <f t="shared" ref="I835:I898" si="13">WEEKNUM(A835,2)</f>
        <v>21</v>
      </c>
    </row>
    <row r="836" spans="1:9" x14ac:dyDescent="0.25">
      <c r="A836" s="2">
        <v>43972</v>
      </c>
      <c r="B836" s="3" t="s">
        <v>19</v>
      </c>
      <c r="E836" s="3">
        <v>15</v>
      </c>
      <c r="F836" s="3">
        <v>749</v>
      </c>
      <c r="G836" s="3">
        <v>652</v>
      </c>
      <c r="I836" s="3">
        <f t="shared" si="13"/>
        <v>21</v>
      </c>
    </row>
    <row r="837" spans="1:9" x14ac:dyDescent="0.25">
      <c r="A837" s="2">
        <v>43972</v>
      </c>
      <c r="B837" s="3" t="s">
        <v>15</v>
      </c>
      <c r="E837" s="3">
        <v>125</v>
      </c>
      <c r="F837" s="3">
        <v>20911</v>
      </c>
      <c r="G837" s="3">
        <v>19358</v>
      </c>
      <c r="I837" s="3">
        <f t="shared" si="13"/>
        <v>21</v>
      </c>
    </row>
    <row r="838" spans="1:9" x14ac:dyDescent="0.25">
      <c r="A838" s="2">
        <v>43972</v>
      </c>
      <c r="B838" s="3" t="s">
        <v>14</v>
      </c>
      <c r="E838" s="3">
        <v>129</v>
      </c>
      <c r="F838" s="3">
        <v>16373</v>
      </c>
      <c r="G838" s="3">
        <v>15223</v>
      </c>
      <c r="I838" s="3">
        <f t="shared" si="13"/>
        <v>21</v>
      </c>
    </row>
    <row r="839" spans="1:9" x14ac:dyDescent="0.25">
      <c r="A839" s="2">
        <v>43972</v>
      </c>
      <c r="B839" s="3" t="s">
        <v>12</v>
      </c>
      <c r="E839" s="3">
        <v>10</v>
      </c>
      <c r="F839" s="3">
        <v>677</v>
      </c>
      <c r="G839" s="3">
        <v>591</v>
      </c>
      <c r="I839" s="3">
        <f t="shared" si="13"/>
        <v>21</v>
      </c>
    </row>
    <row r="840" spans="1:9" x14ac:dyDescent="0.25">
      <c r="A840" s="2">
        <v>43973</v>
      </c>
      <c r="B840" s="3" t="s">
        <v>16</v>
      </c>
      <c r="E840" s="3">
        <v>36</v>
      </c>
      <c r="F840" s="3">
        <v>4857</v>
      </c>
      <c r="G840" s="3">
        <v>4456</v>
      </c>
      <c r="I840" s="3">
        <f t="shared" si="13"/>
        <v>21</v>
      </c>
    </row>
    <row r="841" spans="1:9" x14ac:dyDescent="0.25">
      <c r="A841" s="2">
        <v>43973</v>
      </c>
      <c r="B841" s="3" t="s">
        <v>11</v>
      </c>
      <c r="E841" s="3">
        <v>31</v>
      </c>
      <c r="F841" s="3">
        <v>5965</v>
      </c>
      <c r="G841" s="3">
        <v>5533</v>
      </c>
      <c r="I841" s="3">
        <f t="shared" si="13"/>
        <v>21</v>
      </c>
    </row>
    <row r="842" spans="1:9" x14ac:dyDescent="0.25">
      <c r="A842" s="2">
        <v>43973</v>
      </c>
      <c r="B842" s="3" t="s">
        <v>17</v>
      </c>
      <c r="E842" s="3">
        <v>21</v>
      </c>
      <c r="F842" s="3">
        <v>2861</v>
      </c>
      <c r="G842" s="3">
        <v>2612</v>
      </c>
      <c r="I842" s="3">
        <f t="shared" si="13"/>
        <v>21</v>
      </c>
    </row>
    <row r="843" spans="1:9" x14ac:dyDescent="0.25">
      <c r="A843" s="2">
        <v>43973</v>
      </c>
      <c r="B843" s="3" t="s">
        <v>10</v>
      </c>
      <c r="E843" s="3">
        <v>21</v>
      </c>
      <c r="F843" s="3">
        <v>2046</v>
      </c>
      <c r="G843" s="3">
        <v>1853</v>
      </c>
      <c r="I843" s="3">
        <f t="shared" si="13"/>
        <v>21</v>
      </c>
    </row>
    <row r="844" spans="1:9" x14ac:dyDescent="0.25">
      <c r="A844" s="2">
        <v>43973</v>
      </c>
      <c r="B844" s="3" t="s">
        <v>20</v>
      </c>
      <c r="E844" s="3">
        <v>19</v>
      </c>
      <c r="F844" s="3">
        <v>1859</v>
      </c>
      <c r="G844" s="3">
        <v>1697</v>
      </c>
      <c r="I844" s="3">
        <f t="shared" si="13"/>
        <v>21</v>
      </c>
    </row>
    <row r="845" spans="1:9" x14ac:dyDescent="0.25">
      <c r="A845" s="2">
        <v>43973</v>
      </c>
      <c r="B845" s="3" t="s">
        <v>22</v>
      </c>
      <c r="E845" s="3">
        <v>54</v>
      </c>
      <c r="F845" s="3">
        <v>13014</v>
      </c>
      <c r="G845" s="3">
        <v>12095</v>
      </c>
      <c r="I845" s="3">
        <f t="shared" si="13"/>
        <v>21</v>
      </c>
    </row>
    <row r="846" spans="1:9" x14ac:dyDescent="0.25">
      <c r="A846" s="2">
        <v>43973</v>
      </c>
      <c r="B846" s="3" t="s">
        <v>21</v>
      </c>
      <c r="E846" s="3">
        <v>60</v>
      </c>
      <c r="F846" s="3">
        <v>14050</v>
      </c>
      <c r="G846" s="3">
        <v>13027</v>
      </c>
      <c r="I846" s="3">
        <f t="shared" si="13"/>
        <v>21</v>
      </c>
    </row>
    <row r="847" spans="1:9" x14ac:dyDescent="0.25">
      <c r="A847" s="2">
        <v>43973</v>
      </c>
      <c r="B847" s="3" t="s">
        <v>13</v>
      </c>
      <c r="E847" s="3">
        <v>20</v>
      </c>
      <c r="F847" s="3">
        <v>2306</v>
      </c>
      <c r="G847" s="3">
        <v>2054</v>
      </c>
      <c r="I847" s="3">
        <f t="shared" si="13"/>
        <v>21</v>
      </c>
    </row>
    <row r="848" spans="1:9" x14ac:dyDescent="0.25">
      <c r="A848" s="2">
        <v>43973</v>
      </c>
      <c r="B848" s="3" t="s">
        <v>23</v>
      </c>
      <c r="E848" s="3">
        <v>18</v>
      </c>
      <c r="F848" s="3">
        <v>985</v>
      </c>
      <c r="G848" s="3">
        <v>861</v>
      </c>
      <c r="I848" s="3">
        <f t="shared" si="13"/>
        <v>21</v>
      </c>
    </row>
    <row r="849" spans="1:9" x14ac:dyDescent="0.25">
      <c r="A849" s="2">
        <v>43973</v>
      </c>
      <c r="B849" s="3" t="s">
        <v>18</v>
      </c>
      <c r="E849" s="3">
        <v>17</v>
      </c>
      <c r="F849" s="3">
        <v>1268</v>
      </c>
      <c r="G849" s="3">
        <v>1129</v>
      </c>
      <c r="I849" s="3">
        <f t="shared" si="13"/>
        <v>21</v>
      </c>
    </row>
    <row r="850" spans="1:9" x14ac:dyDescent="0.25">
      <c r="A850" s="2">
        <v>43973</v>
      </c>
      <c r="B850" s="3" t="s">
        <v>19</v>
      </c>
      <c r="E850" s="3">
        <v>15</v>
      </c>
      <c r="F850" s="3">
        <v>903</v>
      </c>
      <c r="G850" s="3">
        <v>792</v>
      </c>
      <c r="I850" s="3">
        <f t="shared" si="13"/>
        <v>21</v>
      </c>
    </row>
    <row r="851" spans="1:9" x14ac:dyDescent="0.25">
      <c r="A851" s="2">
        <v>43973</v>
      </c>
      <c r="B851" s="3" t="s">
        <v>15</v>
      </c>
      <c r="E851" s="3">
        <v>125</v>
      </c>
      <c r="F851" s="3">
        <v>21427</v>
      </c>
      <c r="G851" s="3">
        <v>19799</v>
      </c>
      <c r="I851" s="3">
        <f t="shared" si="13"/>
        <v>21</v>
      </c>
    </row>
    <row r="852" spans="1:9" x14ac:dyDescent="0.25">
      <c r="A852" s="2">
        <v>43973</v>
      </c>
      <c r="B852" s="3" t="s">
        <v>14</v>
      </c>
      <c r="E852" s="3">
        <v>129</v>
      </c>
      <c r="F852" s="3">
        <v>17088</v>
      </c>
      <c r="G852" s="3">
        <v>15804</v>
      </c>
      <c r="I852" s="3">
        <f t="shared" si="13"/>
        <v>21</v>
      </c>
    </row>
    <row r="853" spans="1:9" x14ac:dyDescent="0.25">
      <c r="A853" s="2">
        <v>43973</v>
      </c>
      <c r="B853" s="3" t="s">
        <v>12</v>
      </c>
      <c r="E853" s="3">
        <v>10</v>
      </c>
      <c r="F853" s="3">
        <v>965</v>
      </c>
      <c r="G853" s="3">
        <v>861</v>
      </c>
      <c r="I853" s="3">
        <f t="shared" si="13"/>
        <v>21</v>
      </c>
    </row>
    <row r="854" spans="1:9" x14ac:dyDescent="0.25">
      <c r="A854" s="2">
        <v>43974</v>
      </c>
      <c r="B854" s="3" t="s">
        <v>16</v>
      </c>
      <c r="E854" s="3">
        <v>36</v>
      </c>
      <c r="F854" s="3">
        <v>5651</v>
      </c>
      <c r="G854" s="3">
        <v>5212</v>
      </c>
      <c r="I854" s="3">
        <f t="shared" si="13"/>
        <v>21</v>
      </c>
    </row>
    <row r="855" spans="1:9" x14ac:dyDescent="0.25">
      <c r="A855" s="2">
        <v>43974</v>
      </c>
      <c r="B855" s="3" t="s">
        <v>11</v>
      </c>
      <c r="E855" s="3">
        <v>31</v>
      </c>
      <c r="F855" s="3">
        <v>6276</v>
      </c>
      <c r="G855" s="3">
        <v>5801</v>
      </c>
      <c r="I855" s="3">
        <f t="shared" si="13"/>
        <v>21</v>
      </c>
    </row>
    <row r="856" spans="1:9" x14ac:dyDescent="0.25">
      <c r="A856" s="2">
        <v>43974</v>
      </c>
      <c r="B856" s="3" t="s">
        <v>17</v>
      </c>
      <c r="E856" s="3">
        <v>21</v>
      </c>
      <c r="F856" s="3">
        <v>2460</v>
      </c>
      <c r="G856" s="3">
        <v>2226</v>
      </c>
      <c r="I856" s="3">
        <f t="shared" si="13"/>
        <v>21</v>
      </c>
    </row>
    <row r="857" spans="1:9" x14ac:dyDescent="0.25">
      <c r="A857" s="2">
        <v>43974</v>
      </c>
      <c r="B857" s="3" t="s">
        <v>10</v>
      </c>
      <c r="E857" s="3">
        <v>21</v>
      </c>
      <c r="F857" s="3">
        <v>2340</v>
      </c>
      <c r="G857" s="3">
        <v>2146</v>
      </c>
      <c r="I857" s="3">
        <f t="shared" si="13"/>
        <v>21</v>
      </c>
    </row>
    <row r="858" spans="1:9" x14ac:dyDescent="0.25">
      <c r="A858" s="2">
        <v>43974</v>
      </c>
      <c r="B858" s="3" t="s">
        <v>20</v>
      </c>
      <c r="E858" s="3">
        <v>19</v>
      </c>
      <c r="F858" s="3">
        <v>2195</v>
      </c>
      <c r="G858" s="3">
        <v>1999</v>
      </c>
      <c r="I858" s="3">
        <f t="shared" si="13"/>
        <v>21</v>
      </c>
    </row>
    <row r="859" spans="1:9" x14ac:dyDescent="0.25">
      <c r="A859" s="2">
        <v>43974</v>
      </c>
      <c r="B859" s="3" t="s">
        <v>22</v>
      </c>
      <c r="E859" s="3">
        <v>54</v>
      </c>
      <c r="F859" s="3">
        <v>16221</v>
      </c>
      <c r="G859" s="3">
        <v>15065</v>
      </c>
      <c r="I859" s="3">
        <f t="shared" si="13"/>
        <v>21</v>
      </c>
    </row>
    <row r="860" spans="1:9" x14ac:dyDescent="0.25">
      <c r="A860" s="2">
        <v>43974</v>
      </c>
      <c r="B860" s="3" t="s">
        <v>21</v>
      </c>
      <c r="E860" s="3">
        <v>60</v>
      </c>
      <c r="F860" s="3">
        <v>17295</v>
      </c>
      <c r="G860" s="3">
        <v>16010</v>
      </c>
      <c r="I860" s="3">
        <f t="shared" si="13"/>
        <v>21</v>
      </c>
    </row>
    <row r="861" spans="1:9" x14ac:dyDescent="0.25">
      <c r="A861" s="2">
        <v>43974</v>
      </c>
      <c r="B861" s="3" t="s">
        <v>13</v>
      </c>
      <c r="E861" s="3">
        <v>20</v>
      </c>
      <c r="F861" s="3">
        <v>2266</v>
      </c>
      <c r="G861" s="3">
        <v>1993</v>
      </c>
      <c r="I861" s="3">
        <f t="shared" si="13"/>
        <v>21</v>
      </c>
    </row>
    <row r="862" spans="1:9" x14ac:dyDescent="0.25">
      <c r="A862" s="2">
        <v>43974</v>
      </c>
      <c r="B862" s="3" t="s">
        <v>23</v>
      </c>
      <c r="E862" s="3">
        <v>18</v>
      </c>
      <c r="F862" s="3">
        <v>1031</v>
      </c>
      <c r="G862" s="3">
        <v>918</v>
      </c>
      <c r="I862" s="3">
        <f t="shared" si="13"/>
        <v>21</v>
      </c>
    </row>
    <row r="863" spans="1:9" x14ac:dyDescent="0.25">
      <c r="A863" s="2">
        <v>43974</v>
      </c>
      <c r="B863" s="3" t="s">
        <v>18</v>
      </c>
      <c r="E863" s="3">
        <v>17</v>
      </c>
      <c r="F863" s="3">
        <v>1294</v>
      </c>
      <c r="G863" s="3">
        <v>1155</v>
      </c>
      <c r="I863" s="3">
        <f t="shared" si="13"/>
        <v>21</v>
      </c>
    </row>
    <row r="864" spans="1:9" x14ac:dyDescent="0.25">
      <c r="A864" s="2">
        <v>43974</v>
      </c>
      <c r="B864" s="3" t="s">
        <v>19</v>
      </c>
      <c r="E864" s="3">
        <v>15</v>
      </c>
      <c r="F864" s="3">
        <v>840</v>
      </c>
      <c r="G864" s="3">
        <v>725</v>
      </c>
      <c r="I864" s="3">
        <f t="shared" si="13"/>
        <v>21</v>
      </c>
    </row>
    <row r="865" spans="1:9" x14ac:dyDescent="0.25">
      <c r="A865" s="2">
        <v>43974</v>
      </c>
      <c r="B865" s="3" t="s">
        <v>15</v>
      </c>
      <c r="E865" s="3">
        <v>125</v>
      </c>
      <c r="F865" s="3">
        <v>24574</v>
      </c>
      <c r="G865" s="3">
        <v>22609</v>
      </c>
      <c r="I865" s="3">
        <f t="shared" si="13"/>
        <v>21</v>
      </c>
    </row>
    <row r="866" spans="1:9" x14ac:dyDescent="0.25">
      <c r="A866" s="2">
        <v>43974</v>
      </c>
      <c r="B866" s="3" t="s">
        <v>14</v>
      </c>
      <c r="E866" s="3">
        <v>129</v>
      </c>
      <c r="F866" s="3">
        <v>19856</v>
      </c>
      <c r="G866" s="3">
        <v>18325</v>
      </c>
      <c r="I866" s="3">
        <f t="shared" si="13"/>
        <v>21</v>
      </c>
    </row>
    <row r="867" spans="1:9" x14ac:dyDescent="0.25">
      <c r="A867" s="2">
        <v>43974</v>
      </c>
      <c r="B867" s="3" t="s">
        <v>12</v>
      </c>
      <c r="E867" s="3">
        <v>10</v>
      </c>
      <c r="F867" s="3">
        <v>828</v>
      </c>
      <c r="G867" s="3">
        <v>734</v>
      </c>
      <c r="I867" s="3">
        <f t="shared" si="13"/>
        <v>21</v>
      </c>
    </row>
    <row r="868" spans="1:9" x14ac:dyDescent="0.25">
      <c r="A868" s="2">
        <v>43975</v>
      </c>
      <c r="B868" s="3" t="s">
        <v>16</v>
      </c>
      <c r="E868" s="3">
        <v>36</v>
      </c>
      <c r="F868" s="3">
        <v>4915</v>
      </c>
      <c r="G868" s="3">
        <v>4562</v>
      </c>
      <c r="I868" s="3">
        <f t="shared" si="13"/>
        <v>21</v>
      </c>
    </row>
    <row r="869" spans="1:9" x14ac:dyDescent="0.25">
      <c r="A869" s="2">
        <v>43975</v>
      </c>
      <c r="B869" s="3" t="s">
        <v>11</v>
      </c>
      <c r="E869" s="3">
        <v>31</v>
      </c>
      <c r="F869" s="3">
        <v>5035</v>
      </c>
      <c r="G869" s="3">
        <v>4683</v>
      </c>
      <c r="I869" s="3">
        <f t="shared" si="13"/>
        <v>21</v>
      </c>
    </row>
    <row r="870" spans="1:9" x14ac:dyDescent="0.25">
      <c r="A870" s="2">
        <v>43975</v>
      </c>
      <c r="B870" s="3" t="s">
        <v>17</v>
      </c>
      <c r="E870" s="3">
        <v>21</v>
      </c>
      <c r="F870" s="3">
        <v>2254</v>
      </c>
      <c r="G870" s="3">
        <v>2061</v>
      </c>
      <c r="I870" s="3">
        <f t="shared" si="13"/>
        <v>21</v>
      </c>
    </row>
    <row r="871" spans="1:9" x14ac:dyDescent="0.25">
      <c r="A871" s="2">
        <v>43975</v>
      </c>
      <c r="B871" s="3" t="s">
        <v>10</v>
      </c>
      <c r="E871" s="3">
        <v>20</v>
      </c>
      <c r="F871" s="3">
        <v>1999</v>
      </c>
      <c r="G871" s="3">
        <v>1829</v>
      </c>
      <c r="I871" s="3">
        <f t="shared" si="13"/>
        <v>21</v>
      </c>
    </row>
    <row r="872" spans="1:9" x14ac:dyDescent="0.25">
      <c r="A872" s="2">
        <v>43975</v>
      </c>
      <c r="B872" s="3" t="s">
        <v>20</v>
      </c>
      <c r="E872" s="3">
        <v>19</v>
      </c>
      <c r="F872" s="3">
        <v>1868</v>
      </c>
      <c r="G872" s="3">
        <v>1706</v>
      </c>
      <c r="I872" s="3">
        <f t="shared" si="13"/>
        <v>21</v>
      </c>
    </row>
    <row r="873" spans="1:9" x14ac:dyDescent="0.25">
      <c r="A873" s="2">
        <v>43975</v>
      </c>
      <c r="B873" s="3" t="s">
        <v>22</v>
      </c>
      <c r="E873" s="3">
        <v>54</v>
      </c>
      <c r="F873" s="3">
        <v>12211</v>
      </c>
      <c r="G873" s="3">
        <v>11427</v>
      </c>
      <c r="I873" s="3">
        <f t="shared" si="13"/>
        <v>21</v>
      </c>
    </row>
    <row r="874" spans="1:9" x14ac:dyDescent="0.25">
      <c r="A874" s="2">
        <v>43975</v>
      </c>
      <c r="B874" s="3" t="s">
        <v>21</v>
      </c>
      <c r="E874" s="3">
        <v>60</v>
      </c>
      <c r="F874" s="3">
        <v>12822</v>
      </c>
      <c r="G874" s="3">
        <v>11916</v>
      </c>
      <c r="I874" s="3">
        <f t="shared" si="13"/>
        <v>21</v>
      </c>
    </row>
    <row r="875" spans="1:9" x14ac:dyDescent="0.25">
      <c r="A875" s="2">
        <v>43975</v>
      </c>
      <c r="B875" s="3" t="s">
        <v>13</v>
      </c>
      <c r="E875" s="3">
        <v>20</v>
      </c>
      <c r="F875" s="3">
        <v>2015</v>
      </c>
      <c r="G875" s="3">
        <v>1803</v>
      </c>
      <c r="I875" s="3">
        <f t="shared" si="13"/>
        <v>21</v>
      </c>
    </row>
    <row r="876" spans="1:9" x14ac:dyDescent="0.25">
      <c r="A876" s="2">
        <v>43975</v>
      </c>
      <c r="B876" s="3" t="s">
        <v>23</v>
      </c>
      <c r="E876" s="3">
        <v>18</v>
      </c>
      <c r="F876" s="3">
        <v>1006</v>
      </c>
      <c r="G876" s="3">
        <v>904</v>
      </c>
      <c r="I876" s="3">
        <f t="shared" si="13"/>
        <v>21</v>
      </c>
    </row>
    <row r="877" spans="1:9" x14ac:dyDescent="0.25">
      <c r="A877" s="2">
        <v>43975</v>
      </c>
      <c r="B877" s="3" t="s">
        <v>18</v>
      </c>
      <c r="E877" s="3">
        <v>17</v>
      </c>
      <c r="F877" s="3">
        <v>1128</v>
      </c>
      <c r="G877" s="3">
        <v>1001</v>
      </c>
      <c r="I877" s="3">
        <f t="shared" si="13"/>
        <v>21</v>
      </c>
    </row>
    <row r="878" spans="1:9" x14ac:dyDescent="0.25">
      <c r="A878" s="2">
        <v>43975</v>
      </c>
      <c r="B878" s="3" t="s">
        <v>19</v>
      </c>
      <c r="E878" s="3">
        <v>15</v>
      </c>
      <c r="F878" s="3">
        <v>779</v>
      </c>
      <c r="G878" s="3">
        <v>673</v>
      </c>
      <c r="I878" s="3">
        <f t="shared" si="13"/>
        <v>21</v>
      </c>
    </row>
    <row r="879" spans="1:9" x14ac:dyDescent="0.25">
      <c r="A879" s="2">
        <v>43975</v>
      </c>
      <c r="B879" s="3" t="s">
        <v>15</v>
      </c>
      <c r="E879" s="3">
        <v>125</v>
      </c>
      <c r="F879" s="3">
        <v>21004</v>
      </c>
      <c r="G879" s="3">
        <v>19556</v>
      </c>
      <c r="I879" s="3">
        <f t="shared" si="13"/>
        <v>21</v>
      </c>
    </row>
    <row r="880" spans="1:9" x14ac:dyDescent="0.25">
      <c r="A880" s="2">
        <v>43975</v>
      </c>
      <c r="B880" s="3" t="s">
        <v>14</v>
      </c>
      <c r="E880" s="3">
        <v>129</v>
      </c>
      <c r="F880" s="3">
        <v>16432</v>
      </c>
      <c r="G880" s="3">
        <v>15345</v>
      </c>
      <c r="I880" s="3">
        <f t="shared" si="13"/>
        <v>21</v>
      </c>
    </row>
    <row r="881" spans="1:9" x14ac:dyDescent="0.25">
      <c r="A881" s="2">
        <v>43975</v>
      </c>
      <c r="B881" s="3" t="s">
        <v>12</v>
      </c>
      <c r="E881" s="3">
        <v>10</v>
      </c>
      <c r="F881" s="3">
        <v>639</v>
      </c>
      <c r="G881" s="3">
        <v>557</v>
      </c>
      <c r="I881" s="3">
        <f t="shared" si="13"/>
        <v>21</v>
      </c>
    </row>
    <row r="882" spans="1:9" x14ac:dyDescent="0.25">
      <c r="A882" s="2">
        <v>43976</v>
      </c>
      <c r="B882" s="3" t="s">
        <v>16</v>
      </c>
      <c r="E882" s="3">
        <v>36</v>
      </c>
      <c r="F882" s="3">
        <v>4641</v>
      </c>
      <c r="G882" s="3">
        <v>4274</v>
      </c>
      <c r="I882" s="3">
        <f t="shared" si="13"/>
        <v>22</v>
      </c>
    </row>
    <row r="883" spans="1:9" x14ac:dyDescent="0.25">
      <c r="A883" s="2">
        <v>43976</v>
      </c>
      <c r="B883" s="3" t="s">
        <v>11</v>
      </c>
      <c r="E883" s="3">
        <v>31</v>
      </c>
      <c r="F883" s="3">
        <v>5210</v>
      </c>
      <c r="G883" s="3">
        <v>4841</v>
      </c>
      <c r="I883" s="3">
        <f t="shared" si="13"/>
        <v>22</v>
      </c>
    </row>
    <row r="884" spans="1:9" x14ac:dyDescent="0.25">
      <c r="A884" s="2">
        <v>43976</v>
      </c>
      <c r="B884" s="3" t="s">
        <v>17</v>
      </c>
      <c r="E884" s="3">
        <v>21</v>
      </c>
      <c r="F884" s="3">
        <v>2330</v>
      </c>
      <c r="G884" s="3">
        <v>2142</v>
      </c>
      <c r="I884" s="3">
        <f t="shared" si="13"/>
        <v>22</v>
      </c>
    </row>
    <row r="885" spans="1:9" x14ac:dyDescent="0.25">
      <c r="A885" s="2">
        <v>43976</v>
      </c>
      <c r="B885" s="3" t="s">
        <v>10</v>
      </c>
      <c r="E885" s="3">
        <v>20</v>
      </c>
      <c r="F885" s="3">
        <v>2087</v>
      </c>
      <c r="G885" s="3">
        <v>1914</v>
      </c>
      <c r="I885" s="3">
        <f t="shared" si="13"/>
        <v>22</v>
      </c>
    </row>
    <row r="886" spans="1:9" x14ac:dyDescent="0.25">
      <c r="A886" s="2">
        <v>43976</v>
      </c>
      <c r="B886" s="3" t="s">
        <v>20</v>
      </c>
      <c r="E886" s="3">
        <v>20</v>
      </c>
      <c r="F886" s="3">
        <v>1899</v>
      </c>
      <c r="G886" s="3">
        <v>1738</v>
      </c>
      <c r="I886" s="3">
        <f t="shared" si="13"/>
        <v>22</v>
      </c>
    </row>
    <row r="887" spans="1:9" x14ac:dyDescent="0.25">
      <c r="A887" s="2">
        <v>43976</v>
      </c>
      <c r="B887" s="3" t="s">
        <v>22</v>
      </c>
      <c r="E887" s="3">
        <v>54</v>
      </c>
      <c r="F887" s="3">
        <v>12336</v>
      </c>
      <c r="G887" s="3">
        <v>11519</v>
      </c>
      <c r="I887" s="3">
        <f t="shared" si="13"/>
        <v>22</v>
      </c>
    </row>
    <row r="888" spans="1:9" x14ac:dyDescent="0.25">
      <c r="A888" s="2">
        <v>43976</v>
      </c>
      <c r="B888" s="3" t="s">
        <v>21</v>
      </c>
      <c r="E888" s="3">
        <v>59</v>
      </c>
      <c r="F888" s="3">
        <v>12983</v>
      </c>
      <c r="G888" s="3">
        <v>12056</v>
      </c>
      <c r="I888" s="3">
        <f t="shared" si="13"/>
        <v>22</v>
      </c>
    </row>
    <row r="889" spans="1:9" x14ac:dyDescent="0.25">
      <c r="A889" s="2">
        <v>43976</v>
      </c>
      <c r="B889" s="3" t="s">
        <v>13</v>
      </c>
      <c r="E889" s="3">
        <v>20</v>
      </c>
      <c r="F889" s="3">
        <v>2011</v>
      </c>
      <c r="G889" s="3">
        <v>1791</v>
      </c>
      <c r="I889" s="3">
        <f t="shared" si="13"/>
        <v>22</v>
      </c>
    </row>
    <row r="890" spans="1:9" x14ac:dyDescent="0.25">
      <c r="A890" s="2">
        <v>43976</v>
      </c>
      <c r="B890" s="3" t="s">
        <v>23</v>
      </c>
      <c r="E890" s="3">
        <v>18</v>
      </c>
      <c r="F890" s="3">
        <v>989</v>
      </c>
      <c r="G890" s="3">
        <v>887</v>
      </c>
      <c r="I890" s="3">
        <f t="shared" si="13"/>
        <v>22</v>
      </c>
    </row>
    <row r="891" spans="1:9" x14ac:dyDescent="0.25">
      <c r="A891" s="2">
        <v>43976</v>
      </c>
      <c r="B891" s="3" t="s">
        <v>18</v>
      </c>
      <c r="E891" s="3">
        <v>17</v>
      </c>
      <c r="F891" s="3">
        <v>1142</v>
      </c>
      <c r="G891" s="3">
        <v>1020</v>
      </c>
      <c r="I891" s="3">
        <f t="shared" si="13"/>
        <v>22</v>
      </c>
    </row>
    <row r="892" spans="1:9" x14ac:dyDescent="0.25">
      <c r="A892" s="2">
        <v>43976</v>
      </c>
      <c r="B892" s="3" t="s">
        <v>19</v>
      </c>
      <c r="E892" s="3">
        <v>15</v>
      </c>
      <c r="F892" s="3">
        <v>835</v>
      </c>
      <c r="G892" s="3">
        <v>736</v>
      </c>
      <c r="I892" s="3">
        <f t="shared" si="13"/>
        <v>22</v>
      </c>
    </row>
    <row r="893" spans="1:9" x14ac:dyDescent="0.25">
      <c r="A893" s="2">
        <v>43976</v>
      </c>
      <c r="B893" s="3" t="s">
        <v>15</v>
      </c>
      <c r="E893" s="3">
        <v>124</v>
      </c>
      <c r="F893" s="3">
        <v>20358</v>
      </c>
      <c r="G893" s="3">
        <v>18890</v>
      </c>
      <c r="I893" s="3">
        <f t="shared" si="13"/>
        <v>22</v>
      </c>
    </row>
    <row r="894" spans="1:9" x14ac:dyDescent="0.25">
      <c r="A894" s="2">
        <v>43976</v>
      </c>
      <c r="B894" s="3" t="s">
        <v>14</v>
      </c>
      <c r="E894" s="3">
        <v>129</v>
      </c>
      <c r="F894" s="3">
        <v>15822</v>
      </c>
      <c r="G894" s="3">
        <v>14753</v>
      </c>
      <c r="I894" s="3">
        <f t="shared" si="13"/>
        <v>22</v>
      </c>
    </row>
    <row r="895" spans="1:9" x14ac:dyDescent="0.25">
      <c r="A895" s="2">
        <v>43976</v>
      </c>
      <c r="B895" s="3" t="s">
        <v>12</v>
      </c>
      <c r="E895" s="3">
        <v>10</v>
      </c>
      <c r="F895" s="3">
        <v>739</v>
      </c>
      <c r="G895" s="3">
        <v>642</v>
      </c>
      <c r="I895" s="3">
        <f t="shared" si="13"/>
        <v>22</v>
      </c>
    </row>
    <row r="896" spans="1:9" x14ac:dyDescent="0.25">
      <c r="A896" s="2">
        <v>43977</v>
      </c>
      <c r="B896" s="3" t="s">
        <v>16</v>
      </c>
      <c r="E896" s="3">
        <v>36</v>
      </c>
      <c r="F896" s="3">
        <v>4770</v>
      </c>
      <c r="G896" s="3">
        <v>4424</v>
      </c>
      <c r="I896" s="3">
        <f t="shared" si="13"/>
        <v>22</v>
      </c>
    </row>
    <row r="897" spans="1:9" x14ac:dyDescent="0.25">
      <c r="A897" s="2">
        <v>43977</v>
      </c>
      <c r="B897" s="3" t="s">
        <v>11</v>
      </c>
      <c r="E897" s="3">
        <v>31</v>
      </c>
      <c r="F897" s="3">
        <v>5493</v>
      </c>
      <c r="G897" s="3">
        <v>5119</v>
      </c>
      <c r="I897" s="3">
        <f t="shared" si="13"/>
        <v>22</v>
      </c>
    </row>
    <row r="898" spans="1:9" x14ac:dyDescent="0.25">
      <c r="A898" s="2">
        <v>43977</v>
      </c>
      <c r="B898" s="3" t="s">
        <v>17</v>
      </c>
      <c r="E898" s="3">
        <v>21</v>
      </c>
      <c r="F898" s="3">
        <v>2418</v>
      </c>
      <c r="G898" s="3">
        <v>2215</v>
      </c>
      <c r="I898" s="3">
        <f t="shared" si="13"/>
        <v>22</v>
      </c>
    </row>
    <row r="899" spans="1:9" x14ac:dyDescent="0.25">
      <c r="A899" s="2">
        <v>43977</v>
      </c>
      <c r="B899" s="3" t="s">
        <v>10</v>
      </c>
      <c r="E899" s="3">
        <v>20</v>
      </c>
      <c r="F899" s="3">
        <v>2044</v>
      </c>
      <c r="G899" s="3">
        <v>1863</v>
      </c>
      <c r="I899" s="3">
        <f t="shared" ref="I899:I962" si="14">WEEKNUM(A899,2)</f>
        <v>22</v>
      </c>
    </row>
    <row r="900" spans="1:9" x14ac:dyDescent="0.25">
      <c r="A900" s="2">
        <v>43977</v>
      </c>
      <c r="B900" s="3" t="s">
        <v>20</v>
      </c>
      <c r="E900" s="3">
        <v>20</v>
      </c>
      <c r="F900" s="3">
        <v>1814</v>
      </c>
      <c r="G900" s="3">
        <v>1655</v>
      </c>
      <c r="I900" s="3">
        <f t="shared" si="14"/>
        <v>22</v>
      </c>
    </row>
    <row r="901" spans="1:9" x14ac:dyDescent="0.25">
      <c r="A901" s="2">
        <v>43977</v>
      </c>
      <c r="B901" s="3" t="s">
        <v>22</v>
      </c>
      <c r="E901" s="3">
        <v>54</v>
      </c>
      <c r="F901" s="3">
        <v>14482</v>
      </c>
      <c r="G901" s="3">
        <v>13510</v>
      </c>
      <c r="I901" s="3">
        <f t="shared" si="14"/>
        <v>22</v>
      </c>
    </row>
    <row r="902" spans="1:9" x14ac:dyDescent="0.25">
      <c r="A902" s="2">
        <v>43977</v>
      </c>
      <c r="B902" s="3" t="s">
        <v>21</v>
      </c>
      <c r="E902" s="3">
        <v>59</v>
      </c>
      <c r="F902" s="3">
        <v>15369</v>
      </c>
      <c r="G902" s="3">
        <v>14299</v>
      </c>
      <c r="I902" s="3">
        <f t="shared" si="14"/>
        <v>22</v>
      </c>
    </row>
    <row r="903" spans="1:9" x14ac:dyDescent="0.25">
      <c r="A903" s="2">
        <v>43977</v>
      </c>
      <c r="B903" s="3" t="s">
        <v>13</v>
      </c>
      <c r="E903" s="3">
        <v>20</v>
      </c>
      <c r="F903" s="3">
        <v>2036</v>
      </c>
      <c r="G903" s="3">
        <v>1790</v>
      </c>
      <c r="I903" s="3">
        <f t="shared" si="14"/>
        <v>22</v>
      </c>
    </row>
    <row r="904" spans="1:9" x14ac:dyDescent="0.25">
      <c r="A904" s="2">
        <v>43977</v>
      </c>
      <c r="B904" s="3" t="s">
        <v>23</v>
      </c>
      <c r="E904" s="3">
        <v>18</v>
      </c>
      <c r="F904" s="3">
        <v>914</v>
      </c>
      <c r="G904" s="3">
        <v>804</v>
      </c>
      <c r="I904" s="3">
        <f t="shared" si="14"/>
        <v>22</v>
      </c>
    </row>
    <row r="905" spans="1:9" x14ac:dyDescent="0.25">
      <c r="A905" s="2">
        <v>43977</v>
      </c>
      <c r="B905" s="3" t="s">
        <v>18</v>
      </c>
      <c r="E905" s="3">
        <v>17</v>
      </c>
      <c r="F905" s="3">
        <v>1140</v>
      </c>
      <c r="G905" s="3">
        <v>1016</v>
      </c>
      <c r="I905" s="3">
        <f t="shared" si="14"/>
        <v>22</v>
      </c>
    </row>
    <row r="906" spans="1:9" x14ac:dyDescent="0.25">
      <c r="A906" s="2">
        <v>43977</v>
      </c>
      <c r="B906" s="3" t="s">
        <v>19</v>
      </c>
      <c r="E906" s="3">
        <v>15</v>
      </c>
      <c r="F906" s="3">
        <v>812</v>
      </c>
      <c r="G906" s="3">
        <v>711</v>
      </c>
      <c r="I906" s="3">
        <f t="shared" si="14"/>
        <v>22</v>
      </c>
    </row>
    <row r="907" spans="1:9" x14ac:dyDescent="0.25">
      <c r="A907" s="2">
        <v>43977</v>
      </c>
      <c r="B907" s="3" t="s">
        <v>15</v>
      </c>
      <c r="E907" s="3">
        <v>124</v>
      </c>
      <c r="F907" s="3">
        <v>21153</v>
      </c>
      <c r="G907" s="3">
        <v>19673</v>
      </c>
      <c r="I907" s="3">
        <f t="shared" si="14"/>
        <v>22</v>
      </c>
    </row>
    <row r="908" spans="1:9" x14ac:dyDescent="0.25">
      <c r="A908" s="2">
        <v>43977</v>
      </c>
      <c r="B908" s="3" t="s">
        <v>14</v>
      </c>
      <c r="E908" s="3">
        <v>129</v>
      </c>
      <c r="F908" s="3">
        <v>16459</v>
      </c>
      <c r="G908" s="3">
        <v>15355</v>
      </c>
      <c r="I908" s="3">
        <f t="shared" si="14"/>
        <v>22</v>
      </c>
    </row>
    <row r="909" spans="1:9" x14ac:dyDescent="0.25">
      <c r="A909" s="2">
        <v>43977</v>
      </c>
      <c r="B909" s="3" t="s">
        <v>12</v>
      </c>
      <c r="E909" s="3">
        <v>10</v>
      </c>
      <c r="F909" s="3">
        <v>692</v>
      </c>
      <c r="G909" s="3">
        <v>601</v>
      </c>
      <c r="I909" s="3">
        <f t="shared" si="14"/>
        <v>22</v>
      </c>
    </row>
    <row r="910" spans="1:9" x14ac:dyDescent="0.25">
      <c r="A910" s="2">
        <v>43977</v>
      </c>
      <c r="B910" s="3" t="s">
        <v>24</v>
      </c>
      <c r="E910" s="3">
        <v>7</v>
      </c>
      <c r="F910" s="3">
        <v>577</v>
      </c>
      <c r="G910" s="3">
        <v>389</v>
      </c>
      <c r="I910" s="3">
        <f t="shared" si="14"/>
        <v>22</v>
      </c>
    </row>
    <row r="911" spans="1:9" x14ac:dyDescent="0.25">
      <c r="A911" s="2">
        <v>43978</v>
      </c>
      <c r="B911" s="3" t="s">
        <v>16</v>
      </c>
      <c r="E911" s="3">
        <v>36</v>
      </c>
      <c r="F911" s="3">
        <v>4951</v>
      </c>
      <c r="G911" s="3">
        <v>4584</v>
      </c>
      <c r="I911" s="3">
        <f t="shared" si="14"/>
        <v>22</v>
      </c>
    </row>
    <row r="912" spans="1:9" x14ac:dyDescent="0.25">
      <c r="A912" s="2">
        <v>43978</v>
      </c>
      <c r="B912" s="3" t="s">
        <v>11</v>
      </c>
      <c r="E912" s="3">
        <v>31</v>
      </c>
      <c r="F912" s="3">
        <v>5330</v>
      </c>
      <c r="G912" s="3">
        <v>4977</v>
      </c>
      <c r="I912" s="3">
        <f t="shared" si="14"/>
        <v>22</v>
      </c>
    </row>
    <row r="913" spans="1:9" x14ac:dyDescent="0.25">
      <c r="A913" s="2">
        <v>43978</v>
      </c>
      <c r="B913" s="3" t="s">
        <v>17</v>
      </c>
      <c r="E913" s="3">
        <v>21</v>
      </c>
      <c r="F913" s="3">
        <v>2430</v>
      </c>
      <c r="G913" s="3">
        <v>2216</v>
      </c>
      <c r="I913" s="3">
        <f t="shared" si="14"/>
        <v>22</v>
      </c>
    </row>
    <row r="914" spans="1:9" x14ac:dyDescent="0.25">
      <c r="A914" s="2">
        <v>43978</v>
      </c>
      <c r="B914" s="3" t="s">
        <v>10</v>
      </c>
      <c r="E914" s="3">
        <v>20</v>
      </c>
      <c r="F914" s="3">
        <v>2079</v>
      </c>
      <c r="G914" s="3">
        <v>1893</v>
      </c>
      <c r="I914" s="3">
        <f t="shared" si="14"/>
        <v>22</v>
      </c>
    </row>
    <row r="915" spans="1:9" x14ac:dyDescent="0.25">
      <c r="A915" s="2">
        <v>43978</v>
      </c>
      <c r="B915" s="3" t="s">
        <v>20</v>
      </c>
      <c r="E915" s="3">
        <v>20</v>
      </c>
      <c r="F915" s="3">
        <v>1873</v>
      </c>
      <c r="G915" s="3">
        <v>1715</v>
      </c>
      <c r="I915" s="3">
        <f t="shared" si="14"/>
        <v>22</v>
      </c>
    </row>
    <row r="916" spans="1:9" x14ac:dyDescent="0.25">
      <c r="A916" s="2">
        <v>43978</v>
      </c>
      <c r="B916" s="3" t="s">
        <v>22</v>
      </c>
      <c r="E916" s="3">
        <v>54</v>
      </c>
      <c r="F916" s="3">
        <v>13091</v>
      </c>
      <c r="G916" s="3">
        <v>12216</v>
      </c>
      <c r="I916" s="3">
        <f t="shared" si="14"/>
        <v>22</v>
      </c>
    </row>
    <row r="917" spans="1:9" x14ac:dyDescent="0.25">
      <c r="A917" s="2">
        <v>43978</v>
      </c>
      <c r="B917" s="3" t="s">
        <v>21</v>
      </c>
      <c r="E917" s="3">
        <v>59</v>
      </c>
      <c r="F917" s="3">
        <v>13942</v>
      </c>
      <c r="G917" s="3">
        <v>12986</v>
      </c>
      <c r="I917" s="3">
        <f t="shared" si="14"/>
        <v>22</v>
      </c>
    </row>
    <row r="918" spans="1:9" x14ac:dyDescent="0.25">
      <c r="A918" s="2">
        <v>43978</v>
      </c>
      <c r="B918" s="3" t="s">
        <v>13</v>
      </c>
      <c r="E918" s="3">
        <v>20</v>
      </c>
      <c r="F918" s="3">
        <v>2079</v>
      </c>
      <c r="G918" s="3">
        <v>1856</v>
      </c>
      <c r="I918" s="3">
        <f t="shared" si="14"/>
        <v>22</v>
      </c>
    </row>
    <row r="919" spans="1:9" x14ac:dyDescent="0.25">
      <c r="A919" s="2">
        <v>43978</v>
      </c>
      <c r="B919" s="3" t="s">
        <v>23</v>
      </c>
      <c r="E919" s="3">
        <v>18</v>
      </c>
      <c r="F919" s="3">
        <v>962</v>
      </c>
      <c r="G919" s="3">
        <v>859</v>
      </c>
      <c r="I919" s="3">
        <f t="shared" si="14"/>
        <v>22</v>
      </c>
    </row>
    <row r="920" spans="1:9" x14ac:dyDescent="0.25">
      <c r="A920" s="2">
        <v>43978</v>
      </c>
      <c r="B920" s="3" t="s">
        <v>18</v>
      </c>
      <c r="E920" s="3">
        <v>17</v>
      </c>
      <c r="F920" s="3">
        <v>1203</v>
      </c>
      <c r="G920" s="3">
        <v>1077</v>
      </c>
      <c r="I920" s="3">
        <f t="shared" si="14"/>
        <v>22</v>
      </c>
    </row>
    <row r="921" spans="1:9" x14ac:dyDescent="0.25">
      <c r="A921" s="2">
        <v>43978</v>
      </c>
      <c r="B921" s="3" t="s">
        <v>19</v>
      </c>
      <c r="E921" s="3">
        <v>15</v>
      </c>
      <c r="F921" s="3">
        <v>809</v>
      </c>
      <c r="G921" s="3">
        <v>702</v>
      </c>
      <c r="I921" s="3">
        <f t="shared" si="14"/>
        <v>22</v>
      </c>
    </row>
    <row r="922" spans="1:9" x14ac:dyDescent="0.25">
      <c r="A922" s="2">
        <v>43978</v>
      </c>
      <c r="B922" s="3" t="s">
        <v>15</v>
      </c>
      <c r="E922" s="3">
        <v>124</v>
      </c>
      <c r="F922" s="3">
        <v>21384</v>
      </c>
      <c r="G922" s="3">
        <v>19897</v>
      </c>
      <c r="I922" s="3">
        <f t="shared" si="14"/>
        <v>22</v>
      </c>
    </row>
    <row r="923" spans="1:9" x14ac:dyDescent="0.25">
      <c r="A923" s="2">
        <v>43978</v>
      </c>
      <c r="B923" s="3" t="s">
        <v>14</v>
      </c>
      <c r="E923" s="3">
        <v>129</v>
      </c>
      <c r="F923" s="3">
        <v>17115</v>
      </c>
      <c r="G923" s="3">
        <v>15962</v>
      </c>
      <c r="I923" s="3">
        <f t="shared" si="14"/>
        <v>22</v>
      </c>
    </row>
    <row r="924" spans="1:9" x14ac:dyDescent="0.25">
      <c r="A924" s="2">
        <v>43978</v>
      </c>
      <c r="B924" s="3" t="s">
        <v>12</v>
      </c>
      <c r="E924" s="3">
        <v>10</v>
      </c>
      <c r="F924" s="3">
        <v>757</v>
      </c>
      <c r="G924" s="3">
        <v>660</v>
      </c>
      <c r="I924" s="3">
        <f t="shared" si="14"/>
        <v>22</v>
      </c>
    </row>
    <row r="925" spans="1:9" x14ac:dyDescent="0.25">
      <c r="A925" s="2">
        <v>43978</v>
      </c>
      <c r="B925" s="3" t="s">
        <v>24</v>
      </c>
      <c r="E925" s="3">
        <v>7</v>
      </c>
      <c r="F925" s="3">
        <v>409</v>
      </c>
      <c r="G925" s="3">
        <v>329</v>
      </c>
      <c r="I925" s="3">
        <f t="shared" si="14"/>
        <v>22</v>
      </c>
    </row>
    <row r="926" spans="1:9" x14ac:dyDescent="0.25">
      <c r="A926" s="2">
        <v>43979</v>
      </c>
      <c r="B926" s="3" t="s">
        <v>16</v>
      </c>
      <c r="E926" s="3">
        <v>37</v>
      </c>
      <c r="F926" s="3">
        <v>4840</v>
      </c>
      <c r="G926" s="3">
        <v>4475</v>
      </c>
      <c r="I926" s="3">
        <f t="shared" si="14"/>
        <v>22</v>
      </c>
    </row>
    <row r="927" spans="1:9" x14ac:dyDescent="0.25">
      <c r="A927" s="2">
        <v>43979</v>
      </c>
      <c r="B927" s="3" t="s">
        <v>11</v>
      </c>
      <c r="E927" s="3">
        <v>31</v>
      </c>
      <c r="F927" s="3">
        <v>5355</v>
      </c>
      <c r="G927" s="3">
        <v>4969</v>
      </c>
      <c r="I927" s="3">
        <f t="shared" si="14"/>
        <v>22</v>
      </c>
    </row>
    <row r="928" spans="1:9" x14ac:dyDescent="0.25">
      <c r="A928" s="2">
        <v>43979</v>
      </c>
      <c r="B928" s="3" t="s">
        <v>17</v>
      </c>
      <c r="E928" s="3">
        <v>22</v>
      </c>
      <c r="F928" s="3">
        <v>2454</v>
      </c>
      <c r="G928" s="3">
        <v>2239</v>
      </c>
      <c r="I928" s="3">
        <f t="shared" si="14"/>
        <v>22</v>
      </c>
    </row>
    <row r="929" spans="1:9" x14ac:dyDescent="0.25">
      <c r="A929" s="2">
        <v>43979</v>
      </c>
      <c r="B929" s="3" t="s">
        <v>10</v>
      </c>
      <c r="E929" s="3">
        <v>20</v>
      </c>
      <c r="F929" s="3">
        <v>1886</v>
      </c>
      <c r="G929" s="3">
        <v>1736</v>
      </c>
      <c r="I929" s="3">
        <f t="shared" si="14"/>
        <v>22</v>
      </c>
    </row>
    <row r="930" spans="1:9" x14ac:dyDescent="0.25">
      <c r="A930" s="2">
        <v>43979</v>
      </c>
      <c r="B930" s="3" t="s">
        <v>20</v>
      </c>
      <c r="E930" s="3">
        <v>20</v>
      </c>
      <c r="F930" s="3">
        <v>1875</v>
      </c>
      <c r="G930" s="3">
        <v>1701</v>
      </c>
      <c r="I930" s="3">
        <f t="shared" si="14"/>
        <v>22</v>
      </c>
    </row>
    <row r="931" spans="1:9" x14ac:dyDescent="0.25">
      <c r="A931" s="2">
        <v>43979</v>
      </c>
      <c r="B931" s="3" t="s">
        <v>22</v>
      </c>
      <c r="E931" s="3">
        <v>54</v>
      </c>
      <c r="F931" s="3">
        <v>12409</v>
      </c>
      <c r="G931" s="3">
        <v>11582</v>
      </c>
      <c r="I931" s="3">
        <f t="shared" si="14"/>
        <v>22</v>
      </c>
    </row>
    <row r="932" spans="1:9" x14ac:dyDescent="0.25">
      <c r="A932" s="2">
        <v>43979</v>
      </c>
      <c r="B932" s="3" t="s">
        <v>21</v>
      </c>
      <c r="E932" s="3">
        <v>60</v>
      </c>
      <c r="F932" s="3">
        <v>12854</v>
      </c>
      <c r="G932" s="3">
        <v>11954</v>
      </c>
      <c r="I932" s="3">
        <f t="shared" si="14"/>
        <v>22</v>
      </c>
    </row>
    <row r="933" spans="1:9" x14ac:dyDescent="0.25">
      <c r="A933" s="2">
        <v>43979</v>
      </c>
      <c r="B933" s="3" t="s">
        <v>13</v>
      </c>
      <c r="E933" s="3">
        <v>20</v>
      </c>
      <c r="F933" s="3">
        <v>2088</v>
      </c>
      <c r="G933" s="3">
        <v>1848</v>
      </c>
      <c r="I933" s="3">
        <f t="shared" si="14"/>
        <v>22</v>
      </c>
    </row>
    <row r="934" spans="1:9" x14ac:dyDescent="0.25">
      <c r="A934" s="2">
        <v>43979</v>
      </c>
      <c r="B934" s="3" t="s">
        <v>23</v>
      </c>
      <c r="E934" s="3">
        <v>18</v>
      </c>
      <c r="F934" s="3">
        <v>1020</v>
      </c>
      <c r="G934" s="3">
        <v>911</v>
      </c>
      <c r="I934" s="3">
        <f t="shared" si="14"/>
        <v>22</v>
      </c>
    </row>
    <row r="935" spans="1:9" x14ac:dyDescent="0.25">
      <c r="A935" s="2">
        <v>43979</v>
      </c>
      <c r="B935" s="3" t="s">
        <v>18</v>
      </c>
      <c r="E935" s="3">
        <v>17</v>
      </c>
      <c r="F935" s="3">
        <v>1097</v>
      </c>
      <c r="G935" s="3">
        <v>968</v>
      </c>
      <c r="I935" s="3">
        <f t="shared" si="14"/>
        <v>22</v>
      </c>
    </row>
    <row r="936" spans="1:9" x14ac:dyDescent="0.25">
      <c r="A936" s="2">
        <v>43979</v>
      </c>
      <c r="B936" s="3" t="s">
        <v>19</v>
      </c>
      <c r="E936" s="3">
        <v>16</v>
      </c>
      <c r="F936" s="3">
        <v>876</v>
      </c>
      <c r="G936" s="3">
        <v>762</v>
      </c>
      <c r="I936" s="3">
        <f t="shared" si="14"/>
        <v>22</v>
      </c>
    </row>
    <row r="937" spans="1:9" x14ac:dyDescent="0.25">
      <c r="A937" s="2">
        <v>43979</v>
      </c>
      <c r="B937" s="3" t="s">
        <v>9</v>
      </c>
      <c r="E937" s="3">
        <v>15</v>
      </c>
      <c r="F937" s="3">
        <v>464</v>
      </c>
      <c r="G937" s="3">
        <v>390</v>
      </c>
      <c r="I937" s="3">
        <f t="shared" si="14"/>
        <v>22</v>
      </c>
    </row>
    <row r="938" spans="1:9" x14ac:dyDescent="0.25">
      <c r="A938" s="2">
        <v>43979</v>
      </c>
      <c r="B938" s="3" t="s">
        <v>15</v>
      </c>
      <c r="E938" s="3">
        <v>124</v>
      </c>
      <c r="F938" s="3">
        <v>20868</v>
      </c>
      <c r="G938" s="3">
        <v>19342</v>
      </c>
      <c r="I938" s="3">
        <f t="shared" si="14"/>
        <v>22</v>
      </c>
    </row>
    <row r="939" spans="1:9" x14ac:dyDescent="0.25">
      <c r="A939" s="2">
        <v>43979</v>
      </c>
      <c r="B939" s="3" t="s">
        <v>14</v>
      </c>
      <c r="E939" s="3">
        <v>129</v>
      </c>
      <c r="F939" s="3">
        <v>16453</v>
      </c>
      <c r="G939" s="3">
        <v>15289</v>
      </c>
      <c r="I939" s="3">
        <f t="shared" si="14"/>
        <v>22</v>
      </c>
    </row>
    <row r="940" spans="1:9" x14ac:dyDescent="0.25">
      <c r="A940" s="2">
        <v>43979</v>
      </c>
      <c r="B940" s="3" t="s">
        <v>12</v>
      </c>
      <c r="E940" s="3">
        <v>10</v>
      </c>
      <c r="F940" s="3">
        <v>791</v>
      </c>
      <c r="G940" s="3">
        <v>697</v>
      </c>
      <c r="I940" s="3">
        <f t="shared" si="14"/>
        <v>22</v>
      </c>
    </row>
    <row r="941" spans="1:9" x14ac:dyDescent="0.25">
      <c r="A941" s="2">
        <v>43979</v>
      </c>
      <c r="B941" s="3" t="s">
        <v>24</v>
      </c>
      <c r="E941" s="3">
        <v>7</v>
      </c>
      <c r="F941" s="3">
        <v>420</v>
      </c>
      <c r="G941" s="3">
        <v>347</v>
      </c>
      <c r="I941" s="3">
        <f t="shared" si="14"/>
        <v>22</v>
      </c>
    </row>
    <row r="942" spans="1:9" x14ac:dyDescent="0.25">
      <c r="A942" s="2">
        <v>43980</v>
      </c>
      <c r="B942" s="3" t="s">
        <v>16</v>
      </c>
      <c r="E942" s="3">
        <v>37</v>
      </c>
      <c r="F942" s="3">
        <v>5672</v>
      </c>
      <c r="G942" s="3">
        <v>5198</v>
      </c>
      <c r="I942" s="3">
        <f t="shared" si="14"/>
        <v>22</v>
      </c>
    </row>
    <row r="943" spans="1:9" x14ac:dyDescent="0.25">
      <c r="A943" s="2">
        <v>43980</v>
      </c>
      <c r="B943" s="3" t="s">
        <v>11</v>
      </c>
      <c r="E943" s="3">
        <v>31</v>
      </c>
      <c r="F943" s="3">
        <v>5751</v>
      </c>
      <c r="G943" s="3">
        <v>5319</v>
      </c>
      <c r="I943" s="3">
        <f t="shared" si="14"/>
        <v>22</v>
      </c>
    </row>
    <row r="944" spans="1:9" x14ac:dyDescent="0.25">
      <c r="A944" s="2">
        <v>43980</v>
      </c>
      <c r="B944" s="3" t="s">
        <v>17</v>
      </c>
      <c r="E944" s="3">
        <v>22</v>
      </c>
      <c r="F944" s="3">
        <v>2597</v>
      </c>
      <c r="G944" s="3">
        <v>2379</v>
      </c>
      <c r="I944" s="3">
        <f t="shared" si="14"/>
        <v>22</v>
      </c>
    </row>
    <row r="945" spans="1:9" x14ac:dyDescent="0.25">
      <c r="A945" s="2">
        <v>43980</v>
      </c>
      <c r="B945" s="3" t="s">
        <v>10</v>
      </c>
      <c r="E945" s="3">
        <v>20</v>
      </c>
      <c r="F945" s="3">
        <v>2111</v>
      </c>
      <c r="G945" s="3">
        <v>1917</v>
      </c>
      <c r="I945" s="3">
        <f t="shared" si="14"/>
        <v>22</v>
      </c>
    </row>
    <row r="946" spans="1:9" x14ac:dyDescent="0.25">
      <c r="A946" s="2">
        <v>43980</v>
      </c>
      <c r="B946" s="3" t="s">
        <v>20</v>
      </c>
      <c r="E946" s="3">
        <v>20</v>
      </c>
      <c r="F946" s="3">
        <v>2064</v>
      </c>
      <c r="G946" s="3">
        <v>1896</v>
      </c>
      <c r="I946" s="3">
        <f t="shared" si="14"/>
        <v>22</v>
      </c>
    </row>
    <row r="947" spans="1:9" x14ac:dyDescent="0.25">
      <c r="A947" s="2">
        <v>43980</v>
      </c>
      <c r="B947" s="3" t="s">
        <v>22</v>
      </c>
      <c r="E947" s="3">
        <v>54</v>
      </c>
      <c r="F947" s="3">
        <v>14031</v>
      </c>
      <c r="G947" s="3">
        <v>12943</v>
      </c>
      <c r="I947" s="3">
        <f t="shared" si="14"/>
        <v>22</v>
      </c>
    </row>
    <row r="948" spans="1:9" x14ac:dyDescent="0.25">
      <c r="A948" s="2">
        <v>43980</v>
      </c>
      <c r="B948" s="3" t="s">
        <v>21</v>
      </c>
      <c r="E948" s="3">
        <v>59</v>
      </c>
      <c r="F948" s="3">
        <v>14507</v>
      </c>
      <c r="G948" s="3">
        <v>13386</v>
      </c>
      <c r="I948" s="3">
        <f t="shared" si="14"/>
        <v>22</v>
      </c>
    </row>
    <row r="949" spans="1:9" x14ac:dyDescent="0.25">
      <c r="A949" s="2">
        <v>43980</v>
      </c>
      <c r="B949" s="3" t="s">
        <v>13</v>
      </c>
      <c r="E949" s="3">
        <v>20</v>
      </c>
      <c r="F949" s="3">
        <v>2249</v>
      </c>
      <c r="G949" s="3">
        <v>2000</v>
      </c>
      <c r="I949" s="3">
        <f t="shared" si="14"/>
        <v>22</v>
      </c>
    </row>
    <row r="950" spans="1:9" x14ac:dyDescent="0.25">
      <c r="A950" s="2">
        <v>43980</v>
      </c>
      <c r="B950" s="3" t="s">
        <v>23</v>
      </c>
      <c r="E950" s="3">
        <v>18</v>
      </c>
      <c r="F950" s="3">
        <v>1014</v>
      </c>
      <c r="G950" s="3">
        <v>893</v>
      </c>
      <c r="I950" s="3">
        <f t="shared" si="14"/>
        <v>22</v>
      </c>
    </row>
    <row r="951" spans="1:9" x14ac:dyDescent="0.25">
      <c r="A951" s="2">
        <v>43980</v>
      </c>
      <c r="B951" s="3" t="s">
        <v>18</v>
      </c>
      <c r="E951" s="3">
        <v>17</v>
      </c>
      <c r="F951" s="3">
        <v>1296</v>
      </c>
      <c r="G951" s="3">
        <v>1153</v>
      </c>
      <c r="I951" s="3">
        <f t="shared" si="14"/>
        <v>22</v>
      </c>
    </row>
    <row r="952" spans="1:9" x14ac:dyDescent="0.25">
      <c r="A952" s="2">
        <v>43980</v>
      </c>
      <c r="B952" s="3" t="s">
        <v>19</v>
      </c>
      <c r="E952" s="3">
        <v>16</v>
      </c>
      <c r="F952" s="3">
        <v>981</v>
      </c>
      <c r="G952" s="3">
        <v>859</v>
      </c>
      <c r="I952" s="3">
        <f t="shared" si="14"/>
        <v>22</v>
      </c>
    </row>
    <row r="953" spans="1:9" x14ac:dyDescent="0.25">
      <c r="A953" s="2">
        <v>43980</v>
      </c>
      <c r="B953" s="3" t="s">
        <v>9</v>
      </c>
      <c r="E953" s="3">
        <v>15</v>
      </c>
      <c r="F953" s="3">
        <v>400</v>
      </c>
      <c r="G953" s="3">
        <v>329</v>
      </c>
      <c r="I953" s="3">
        <f t="shared" si="14"/>
        <v>22</v>
      </c>
    </row>
    <row r="954" spans="1:9" x14ac:dyDescent="0.25">
      <c r="A954" s="2">
        <v>43980</v>
      </c>
      <c r="B954" s="3" t="s">
        <v>15</v>
      </c>
      <c r="E954" s="3">
        <v>124</v>
      </c>
      <c r="F954" s="3">
        <v>25828</v>
      </c>
      <c r="G954" s="3">
        <v>23974</v>
      </c>
      <c r="I954" s="3">
        <f t="shared" si="14"/>
        <v>22</v>
      </c>
    </row>
    <row r="955" spans="1:9" x14ac:dyDescent="0.25">
      <c r="A955" s="2">
        <v>43980</v>
      </c>
      <c r="B955" s="3" t="s">
        <v>14</v>
      </c>
      <c r="E955" s="3">
        <v>129</v>
      </c>
      <c r="F955" s="3">
        <v>22403</v>
      </c>
      <c r="G955" s="3">
        <v>20676</v>
      </c>
      <c r="I955" s="3">
        <f t="shared" si="14"/>
        <v>22</v>
      </c>
    </row>
    <row r="956" spans="1:9" x14ac:dyDescent="0.25">
      <c r="A956" s="2">
        <v>43980</v>
      </c>
      <c r="B956" s="3" t="s">
        <v>12</v>
      </c>
      <c r="E956" s="3">
        <v>10</v>
      </c>
      <c r="F956" s="3">
        <v>873</v>
      </c>
      <c r="G956" s="3">
        <v>770</v>
      </c>
      <c r="I956" s="3">
        <f t="shared" si="14"/>
        <v>22</v>
      </c>
    </row>
    <row r="957" spans="1:9" x14ac:dyDescent="0.25">
      <c r="A957" s="2">
        <v>43980</v>
      </c>
      <c r="B957" s="3" t="s">
        <v>24</v>
      </c>
      <c r="E957" s="3">
        <v>7</v>
      </c>
      <c r="F957" s="3">
        <v>491</v>
      </c>
      <c r="G957" s="3">
        <v>411</v>
      </c>
      <c r="I957" s="3">
        <f t="shared" si="14"/>
        <v>22</v>
      </c>
    </row>
    <row r="958" spans="1:9" x14ac:dyDescent="0.25">
      <c r="A958" s="2">
        <v>43981</v>
      </c>
      <c r="B958" s="3" t="s">
        <v>16</v>
      </c>
      <c r="E958" s="3">
        <v>37</v>
      </c>
      <c r="F958" s="3">
        <v>6645</v>
      </c>
      <c r="G958" s="3">
        <v>6122</v>
      </c>
      <c r="I958" s="3">
        <f t="shared" si="14"/>
        <v>22</v>
      </c>
    </row>
    <row r="959" spans="1:9" x14ac:dyDescent="0.25">
      <c r="A959" s="2">
        <v>43981</v>
      </c>
      <c r="B959" s="3" t="s">
        <v>11</v>
      </c>
      <c r="E959" s="3">
        <v>31</v>
      </c>
      <c r="F959" s="3">
        <v>6735</v>
      </c>
      <c r="G959" s="3">
        <v>6264</v>
      </c>
      <c r="I959" s="3">
        <f t="shared" si="14"/>
        <v>22</v>
      </c>
    </row>
    <row r="960" spans="1:9" x14ac:dyDescent="0.25">
      <c r="A960" s="2">
        <v>43981</v>
      </c>
      <c r="B960" s="3" t="s">
        <v>17</v>
      </c>
      <c r="E960" s="3">
        <v>22</v>
      </c>
      <c r="F960" s="3">
        <v>2793</v>
      </c>
      <c r="G960" s="3">
        <v>2539</v>
      </c>
      <c r="I960" s="3">
        <f t="shared" si="14"/>
        <v>22</v>
      </c>
    </row>
    <row r="961" spans="1:9" x14ac:dyDescent="0.25">
      <c r="A961" s="2">
        <v>43981</v>
      </c>
      <c r="B961" s="3" t="s">
        <v>10</v>
      </c>
      <c r="E961" s="3">
        <v>20</v>
      </c>
      <c r="F961" s="3">
        <v>2597</v>
      </c>
      <c r="G961" s="3">
        <v>2376</v>
      </c>
      <c r="I961" s="3">
        <f t="shared" si="14"/>
        <v>22</v>
      </c>
    </row>
    <row r="962" spans="1:9" x14ac:dyDescent="0.25">
      <c r="A962" s="2">
        <v>43981</v>
      </c>
      <c r="B962" s="3" t="s">
        <v>20</v>
      </c>
      <c r="E962" s="3">
        <v>20</v>
      </c>
      <c r="F962" s="3">
        <v>2174</v>
      </c>
      <c r="G962" s="3">
        <v>1957</v>
      </c>
      <c r="I962" s="3">
        <f t="shared" si="14"/>
        <v>22</v>
      </c>
    </row>
    <row r="963" spans="1:9" x14ac:dyDescent="0.25">
      <c r="A963" s="2">
        <v>43981</v>
      </c>
      <c r="B963" s="3" t="s">
        <v>22</v>
      </c>
      <c r="E963" s="3">
        <v>54</v>
      </c>
      <c r="F963" s="3">
        <v>14590</v>
      </c>
      <c r="G963" s="3">
        <v>13551</v>
      </c>
      <c r="I963" s="3">
        <f t="shared" ref="I963:I1009" si="15">WEEKNUM(A963,2)</f>
        <v>22</v>
      </c>
    </row>
    <row r="964" spans="1:9" x14ac:dyDescent="0.25">
      <c r="A964" s="2">
        <v>43981</v>
      </c>
      <c r="B964" s="3" t="s">
        <v>21</v>
      </c>
      <c r="E964" s="3">
        <v>59</v>
      </c>
      <c r="F964" s="3">
        <v>15030</v>
      </c>
      <c r="G964" s="3">
        <v>13956</v>
      </c>
      <c r="I964" s="3">
        <f t="shared" si="15"/>
        <v>22</v>
      </c>
    </row>
    <row r="965" spans="1:9" x14ac:dyDescent="0.25">
      <c r="A965" s="2">
        <v>43981</v>
      </c>
      <c r="B965" s="3" t="s">
        <v>13</v>
      </c>
      <c r="E965" s="3">
        <v>20</v>
      </c>
      <c r="F965" s="3">
        <v>2451</v>
      </c>
      <c r="G965" s="3">
        <v>2178</v>
      </c>
      <c r="I965" s="3">
        <f t="shared" si="15"/>
        <v>22</v>
      </c>
    </row>
    <row r="966" spans="1:9" x14ac:dyDescent="0.25">
      <c r="A966" s="2">
        <v>43981</v>
      </c>
      <c r="B966" s="3" t="s">
        <v>23</v>
      </c>
      <c r="E966" s="3">
        <v>18</v>
      </c>
      <c r="F966" s="3">
        <v>1216</v>
      </c>
      <c r="G966" s="3">
        <v>1101</v>
      </c>
      <c r="I966" s="3">
        <f t="shared" si="15"/>
        <v>22</v>
      </c>
    </row>
    <row r="967" spans="1:9" x14ac:dyDescent="0.25">
      <c r="A967" s="2">
        <v>43981</v>
      </c>
      <c r="B967" s="3" t="s">
        <v>18</v>
      </c>
      <c r="E967" s="3">
        <v>17</v>
      </c>
      <c r="F967" s="3">
        <v>1697</v>
      </c>
      <c r="G967" s="3">
        <v>1499</v>
      </c>
      <c r="I967" s="3">
        <f t="shared" si="15"/>
        <v>22</v>
      </c>
    </row>
    <row r="968" spans="1:9" x14ac:dyDescent="0.25">
      <c r="A968" s="2">
        <v>43981</v>
      </c>
      <c r="B968" s="3" t="s">
        <v>19</v>
      </c>
      <c r="E968" s="3">
        <v>16</v>
      </c>
      <c r="F968" s="3">
        <v>1048</v>
      </c>
      <c r="G968" s="3">
        <v>918</v>
      </c>
      <c r="I968" s="3">
        <f t="shared" si="15"/>
        <v>22</v>
      </c>
    </row>
    <row r="969" spans="1:9" x14ac:dyDescent="0.25">
      <c r="A969" s="2">
        <v>43981</v>
      </c>
      <c r="B969" s="3" t="s">
        <v>9</v>
      </c>
      <c r="E969" s="3">
        <v>15</v>
      </c>
      <c r="F969" s="3">
        <v>490</v>
      </c>
      <c r="G969" s="3">
        <v>409</v>
      </c>
      <c r="I969" s="3">
        <f t="shared" si="15"/>
        <v>22</v>
      </c>
    </row>
    <row r="970" spans="1:9" x14ac:dyDescent="0.25">
      <c r="A970" s="2">
        <v>43981</v>
      </c>
      <c r="B970" s="3" t="s">
        <v>15</v>
      </c>
      <c r="E970" s="3">
        <v>124</v>
      </c>
      <c r="F970" s="3">
        <v>24325</v>
      </c>
      <c r="G970" s="3">
        <v>22469</v>
      </c>
      <c r="I970" s="3">
        <f t="shared" si="15"/>
        <v>22</v>
      </c>
    </row>
    <row r="971" spans="1:9" x14ac:dyDescent="0.25">
      <c r="A971" s="2">
        <v>43981</v>
      </c>
      <c r="B971" s="3" t="s">
        <v>14</v>
      </c>
      <c r="E971" s="3">
        <v>129</v>
      </c>
      <c r="F971" s="3">
        <v>20243</v>
      </c>
      <c r="G971" s="3">
        <v>18711</v>
      </c>
      <c r="I971" s="3">
        <f t="shared" si="15"/>
        <v>22</v>
      </c>
    </row>
    <row r="972" spans="1:9" x14ac:dyDescent="0.25">
      <c r="A972" s="2">
        <v>43981</v>
      </c>
      <c r="B972" s="3" t="s">
        <v>12</v>
      </c>
      <c r="E972" s="3">
        <v>10</v>
      </c>
      <c r="F972" s="3">
        <v>865</v>
      </c>
      <c r="G972" s="3">
        <v>763</v>
      </c>
      <c r="I972" s="3">
        <f t="shared" si="15"/>
        <v>22</v>
      </c>
    </row>
    <row r="973" spans="1:9" x14ac:dyDescent="0.25">
      <c r="A973" s="2">
        <v>43981</v>
      </c>
      <c r="B973" s="3" t="s">
        <v>24</v>
      </c>
      <c r="E973" s="3">
        <v>7</v>
      </c>
      <c r="F973" s="3">
        <v>532</v>
      </c>
      <c r="G973" s="3">
        <v>449</v>
      </c>
      <c r="I973" s="3">
        <f t="shared" si="15"/>
        <v>22</v>
      </c>
    </row>
    <row r="974" spans="1:9" x14ac:dyDescent="0.25">
      <c r="A974" s="2">
        <v>43982</v>
      </c>
      <c r="B974" s="3" t="s">
        <v>16</v>
      </c>
      <c r="E974" s="3">
        <v>37</v>
      </c>
      <c r="F974" s="3">
        <v>5215</v>
      </c>
      <c r="G974" s="3">
        <v>4848</v>
      </c>
      <c r="I974" s="3">
        <f t="shared" si="15"/>
        <v>22</v>
      </c>
    </row>
    <row r="975" spans="1:9" x14ac:dyDescent="0.25">
      <c r="A975" s="2">
        <v>43982</v>
      </c>
      <c r="B975" s="3" t="s">
        <v>11</v>
      </c>
      <c r="E975" s="3">
        <v>31</v>
      </c>
      <c r="F975" s="3">
        <v>5760</v>
      </c>
      <c r="G975" s="3">
        <v>5367</v>
      </c>
      <c r="I975" s="3">
        <f t="shared" si="15"/>
        <v>22</v>
      </c>
    </row>
    <row r="976" spans="1:9" x14ac:dyDescent="0.25">
      <c r="A976" s="2">
        <v>43982</v>
      </c>
      <c r="B976" s="3" t="s">
        <v>17</v>
      </c>
      <c r="E976" s="3">
        <v>23</v>
      </c>
      <c r="F976" s="3">
        <v>2522</v>
      </c>
      <c r="G976" s="3">
        <v>2295</v>
      </c>
      <c r="I976" s="3">
        <f t="shared" si="15"/>
        <v>22</v>
      </c>
    </row>
    <row r="977" spans="1:9" x14ac:dyDescent="0.25">
      <c r="A977" s="2">
        <v>43982</v>
      </c>
      <c r="B977" s="3" t="s">
        <v>10</v>
      </c>
      <c r="E977" s="3">
        <v>21</v>
      </c>
      <c r="F977" s="3">
        <v>2271</v>
      </c>
      <c r="G977" s="3">
        <v>2085</v>
      </c>
      <c r="I977" s="3">
        <f t="shared" si="15"/>
        <v>22</v>
      </c>
    </row>
    <row r="978" spans="1:9" x14ac:dyDescent="0.25">
      <c r="A978" s="2">
        <v>43982</v>
      </c>
      <c r="B978" s="3" t="s">
        <v>20</v>
      </c>
      <c r="E978" s="3">
        <v>21</v>
      </c>
      <c r="F978" s="3">
        <v>2056</v>
      </c>
      <c r="G978" s="3">
        <v>1879</v>
      </c>
      <c r="I978" s="3">
        <f t="shared" si="15"/>
        <v>22</v>
      </c>
    </row>
    <row r="979" spans="1:9" x14ac:dyDescent="0.25">
      <c r="A979" s="2">
        <v>43982</v>
      </c>
      <c r="B979" s="3" t="s">
        <v>22</v>
      </c>
      <c r="E979" s="3">
        <v>54</v>
      </c>
      <c r="F979" s="3">
        <v>13106</v>
      </c>
      <c r="G979" s="3">
        <v>12164</v>
      </c>
      <c r="I979" s="3">
        <f t="shared" si="15"/>
        <v>22</v>
      </c>
    </row>
    <row r="980" spans="1:9" x14ac:dyDescent="0.25">
      <c r="A980" s="2">
        <v>43982</v>
      </c>
      <c r="B980" s="3" t="s">
        <v>21</v>
      </c>
      <c r="E980" s="3">
        <v>59</v>
      </c>
      <c r="F980" s="3">
        <v>13684</v>
      </c>
      <c r="G980" s="3">
        <v>12690</v>
      </c>
      <c r="I980" s="3">
        <f t="shared" si="15"/>
        <v>22</v>
      </c>
    </row>
    <row r="981" spans="1:9" x14ac:dyDescent="0.25">
      <c r="A981" s="2">
        <v>43982</v>
      </c>
      <c r="B981" s="3" t="s">
        <v>13</v>
      </c>
      <c r="E981" s="3">
        <v>20</v>
      </c>
      <c r="F981" s="3">
        <v>2060</v>
      </c>
      <c r="G981" s="3">
        <v>1826</v>
      </c>
      <c r="I981" s="3">
        <f t="shared" si="15"/>
        <v>22</v>
      </c>
    </row>
    <row r="982" spans="1:9" x14ac:dyDescent="0.25">
      <c r="A982" s="2">
        <v>43982</v>
      </c>
      <c r="B982" s="3" t="s">
        <v>23</v>
      </c>
      <c r="E982" s="3">
        <v>18</v>
      </c>
      <c r="F982" s="3">
        <v>1029</v>
      </c>
      <c r="G982" s="3">
        <v>925</v>
      </c>
      <c r="I982" s="3">
        <f t="shared" si="15"/>
        <v>22</v>
      </c>
    </row>
    <row r="983" spans="1:9" x14ac:dyDescent="0.25">
      <c r="A983" s="2">
        <v>43982</v>
      </c>
      <c r="B983" s="3" t="s">
        <v>18</v>
      </c>
      <c r="E983" s="3">
        <v>17</v>
      </c>
      <c r="F983" s="3">
        <v>1186</v>
      </c>
      <c r="G983" s="3">
        <v>1054</v>
      </c>
      <c r="I983" s="3">
        <f t="shared" si="15"/>
        <v>22</v>
      </c>
    </row>
    <row r="984" spans="1:9" x14ac:dyDescent="0.25">
      <c r="A984" s="2">
        <v>43982</v>
      </c>
      <c r="B984" s="3" t="s">
        <v>19</v>
      </c>
      <c r="E984" s="3">
        <v>16</v>
      </c>
      <c r="F984" s="3">
        <v>917</v>
      </c>
      <c r="G984" s="3">
        <v>802</v>
      </c>
      <c r="I984" s="3">
        <f t="shared" si="15"/>
        <v>22</v>
      </c>
    </row>
    <row r="985" spans="1:9" x14ac:dyDescent="0.25">
      <c r="A985" s="2">
        <v>43982</v>
      </c>
      <c r="B985" s="3" t="s">
        <v>9</v>
      </c>
      <c r="E985" s="3">
        <v>15</v>
      </c>
      <c r="F985" s="3">
        <v>441</v>
      </c>
      <c r="G985" s="3">
        <v>368</v>
      </c>
      <c r="I985" s="3">
        <f t="shared" si="15"/>
        <v>22</v>
      </c>
    </row>
    <row r="986" spans="1:9" x14ac:dyDescent="0.25">
      <c r="A986" s="2">
        <v>43982</v>
      </c>
      <c r="B986" s="3" t="s">
        <v>15</v>
      </c>
      <c r="E986" s="3">
        <v>124</v>
      </c>
      <c r="F986" s="3">
        <v>21392</v>
      </c>
      <c r="G986" s="3">
        <v>19869</v>
      </c>
      <c r="I986" s="3">
        <f t="shared" si="15"/>
        <v>22</v>
      </c>
    </row>
    <row r="987" spans="1:9" x14ac:dyDescent="0.25">
      <c r="A987" s="2">
        <v>43982</v>
      </c>
      <c r="B987" s="3" t="s">
        <v>14</v>
      </c>
      <c r="E987" s="3">
        <v>129</v>
      </c>
      <c r="F987" s="3">
        <v>17235</v>
      </c>
      <c r="G987" s="3">
        <v>16052</v>
      </c>
      <c r="I987" s="3">
        <f t="shared" si="15"/>
        <v>22</v>
      </c>
    </row>
    <row r="988" spans="1:9" x14ac:dyDescent="0.25">
      <c r="A988" s="2">
        <v>43982</v>
      </c>
      <c r="B988" s="3" t="s">
        <v>12</v>
      </c>
      <c r="E988" s="3">
        <v>10</v>
      </c>
      <c r="F988" s="3">
        <v>749</v>
      </c>
      <c r="G988" s="3">
        <v>655</v>
      </c>
      <c r="I988" s="3">
        <f t="shared" si="15"/>
        <v>22</v>
      </c>
    </row>
    <row r="989" spans="1:9" x14ac:dyDescent="0.25">
      <c r="A989" s="2">
        <v>43982</v>
      </c>
      <c r="B989" s="3" t="s">
        <v>25</v>
      </c>
      <c r="E989" s="3">
        <v>9</v>
      </c>
      <c r="F989" s="3">
        <v>345</v>
      </c>
      <c r="G989" s="3">
        <v>255</v>
      </c>
      <c r="I989" s="3">
        <f t="shared" si="15"/>
        <v>22</v>
      </c>
    </row>
    <row r="990" spans="1:9" x14ac:dyDescent="0.25">
      <c r="A990" s="2">
        <v>43982</v>
      </c>
      <c r="B990" s="3" t="s">
        <v>24</v>
      </c>
      <c r="E990" s="3">
        <v>7</v>
      </c>
      <c r="F990" s="3">
        <v>530</v>
      </c>
      <c r="G990" s="3">
        <v>447</v>
      </c>
      <c r="I990" s="3">
        <f t="shared" si="15"/>
        <v>22</v>
      </c>
    </row>
    <row r="991" spans="1:9" x14ac:dyDescent="0.25">
      <c r="A991" s="2">
        <v>43982</v>
      </c>
      <c r="B991" s="3" t="s">
        <v>26</v>
      </c>
      <c r="E991" s="3">
        <v>6</v>
      </c>
      <c r="F991" s="3">
        <v>261</v>
      </c>
      <c r="G991" s="3">
        <v>188</v>
      </c>
      <c r="I991" s="3">
        <f t="shared" si="15"/>
        <v>22</v>
      </c>
    </row>
    <row r="992" spans="1:9" x14ac:dyDescent="0.25">
      <c r="A992" s="2">
        <v>43983</v>
      </c>
      <c r="B992" s="3" t="s">
        <v>16</v>
      </c>
      <c r="E992" s="3">
        <v>37</v>
      </c>
      <c r="F992" s="3">
        <v>4722</v>
      </c>
      <c r="G992" s="3">
        <v>4352</v>
      </c>
      <c r="I992" s="3">
        <f t="shared" si="15"/>
        <v>23</v>
      </c>
    </row>
    <row r="993" spans="1:9" x14ac:dyDescent="0.25">
      <c r="A993" s="2">
        <v>43983</v>
      </c>
      <c r="B993" s="3" t="s">
        <v>11</v>
      </c>
      <c r="E993" s="3">
        <v>31</v>
      </c>
      <c r="F993" s="3">
        <v>5468</v>
      </c>
      <c r="G993" s="3">
        <v>5081</v>
      </c>
      <c r="I993" s="3">
        <f t="shared" si="15"/>
        <v>23</v>
      </c>
    </row>
    <row r="994" spans="1:9" x14ac:dyDescent="0.25">
      <c r="A994" s="2">
        <v>43983</v>
      </c>
      <c r="B994" s="3" t="s">
        <v>17</v>
      </c>
      <c r="E994" s="3">
        <v>23</v>
      </c>
      <c r="F994" s="3">
        <v>2531</v>
      </c>
      <c r="G994" s="3">
        <v>2296</v>
      </c>
      <c r="I994" s="3">
        <f t="shared" si="15"/>
        <v>23</v>
      </c>
    </row>
    <row r="995" spans="1:9" x14ac:dyDescent="0.25">
      <c r="A995" s="2">
        <v>43983</v>
      </c>
      <c r="B995" s="3" t="s">
        <v>10</v>
      </c>
      <c r="E995" s="3">
        <v>21</v>
      </c>
      <c r="F995" s="3">
        <v>2025</v>
      </c>
      <c r="G995" s="3">
        <v>1849</v>
      </c>
      <c r="I995" s="3">
        <f t="shared" si="15"/>
        <v>23</v>
      </c>
    </row>
    <row r="996" spans="1:9" x14ac:dyDescent="0.25">
      <c r="A996" s="2">
        <v>43983</v>
      </c>
      <c r="B996" s="3" t="s">
        <v>20</v>
      </c>
      <c r="E996" s="3">
        <v>21</v>
      </c>
      <c r="F996" s="3">
        <v>1879</v>
      </c>
      <c r="G996" s="3">
        <v>1720</v>
      </c>
      <c r="I996" s="3">
        <f t="shared" si="15"/>
        <v>23</v>
      </c>
    </row>
    <row r="997" spans="1:9" x14ac:dyDescent="0.25">
      <c r="A997" s="2">
        <v>43983</v>
      </c>
      <c r="B997" s="3" t="s">
        <v>22</v>
      </c>
      <c r="E997" s="3">
        <v>54</v>
      </c>
      <c r="F997" s="3">
        <v>11864</v>
      </c>
      <c r="G997" s="3">
        <v>11071</v>
      </c>
      <c r="I997" s="3">
        <f t="shared" si="15"/>
        <v>23</v>
      </c>
    </row>
    <row r="998" spans="1:9" x14ac:dyDescent="0.25">
      <c r="A998" s="2">
        <v>43983</v>
      </c>
      <c r="B998" s="3" t="s">
        <v>21</v>
      </c>
      <c r="E998" s="3">
        <v>59</v>
      </c>
      <c r="F998" s="3">
        <v>12299</v>
      </c>
      <c r="G998" s="3">
        <v>11448</v>
      </c>
      <c r="I998" s="3">
        <f t="shared" si="15"/>
        <v>23</v>
      </c>
    </row>
    <row r="999" spans="1:9" x14ac:dyDescent="0.25">
      <c r="A999" s="2">
        <v>43983</v>
      </c>
      <c r="B999" s="3" t="s">
        <v>13</v>
      </c>
      <c r="E999" s="3">
        <v>20</v>
      </c>
      <c r="F999" s="3">
        <v>2136</v>
      </c>
      <c r="G999" s="3">
        <v>1899</v>
      </c>
      <c r="I999" s="3">
        <f t="shared" si="15"/>
        <v>23</v>
      </c>
    </row>
    <row r="1000" spans="1:9" x14ac:dyDescent="0.25">
      <c r="A1000" s="2">
        <v>43983</v>
      </c>
      <c r="B1000" s="3" t="s">
        <v>23</v>
      </c>
      <c r="E1000" s="3">
        <v>18</v>
      </c>
      <c r="F1000" s="3">
        <v>923</v>
      </c>
      <c r="G1000" s="3">
        <v>824</v>
      </c>
      <c r="I1000" s="3">
        <f t="shared" si="15"/>
        <v>23</v>
      </c>
    </row>
    <row r="1001" spans="1:9" x14ac:dyDescent="0.25">
      <c r="A1001" s="2">
        <v>43983</v>
      </c>
      <c r="B1001" s="3" t="s">
        <v>18</v>
      </c>
      <c r="E1001" s="3">
        <v>17</v>
      </c>
      <c r="F1001" s="3">
        <v>1185</v>
      </c>
      <c r="G1001" s="3">
        <v>1042</v>
      </c>
      <c r="I1001" s="3">
        <f t="shared" si="15"/>
        <v>23</v>
      </c>
    </row>
    <row r="1002" spans="1:9" x14ac:dyDescent="0.25">
      <c r="A1002" s="2">
        <v>43983</v>
      </c>
      <c r="B1002" s="3" t="s">
        <v>19</v>
      </c>
      <c r="E1002" s="3">
        <v>16</v>
      </c>
      <c r="F1002" s="3">
        <v>1019</v>
      </c>
      <c r="G1002" s="3">
        <v>895</v>
      </c>
      <c r="I1002" s="3">
        <f t="shared" si="15"/>
        <v>23</v>
      </c>
    </row>
    <row r="1003" spans="1:9" x14ac:dyDescent="0.25">
      <c r="A1003" s="2">
        <v>43983</v>
      </c>
      <c r="B1003" s="3" t="s">
        <v>9</v>
      </c>
      <c r="E1003" s="3">
        <v>15</v>
      </c>
      <c r="F1003" s="3">
        <v>453</v>
      </c>
      <c r="G1003" s="3">
        <v>370</v>
      </c>
      <c r="I1003" s="3">
        <f t="shared" si="15"/>
        <v>23</v>
      </c>
    </row>
    <row r="1004" spans="1:9" x14ac:dyDescent="0.25">
      <c r="A1004" s="2">
        <v>43983</v>
      </c>
      <c r="B1004" s="3" t="s">
        <v>15</v>
      </c>
      <c r="E1004" s="3">
        <v>123</v>
      </c>
      <c r="F1004" s="3">
        <v>20325</v>
      </c>
      <c r="G1004" s="3">
        <v>18935</v>
      </c>
      <c r="I1004" s="3">
        <f t="shared" si="15"/>
        <v>23</v>
      </c>
    </row>
    <row r="1005" spans="1:9" x14ac:dyDescent="0.25">
      <c r="A1005" s="2">
        <v>43983</v>
      </c>
      <c r="B1005" s="3" t="s">
        <v>14</v>
      </c>
      <c r="E1005" s="3">
        <v>128</v>
      </c>
      <c r="F1005" s="3">
        <v>16285</v>
      </c>
      <c r="G1005" s="3">
        <v>15130</v>
      </c>
      <c r="I1005" s="3">
        <f t="shared" si="15"/>
        <v>23</v>
      </c>
    </row>
    <row r="1006" spans="1:9" x14ac:dyDescent="0.25">
      <c r="A1006" s="2">
        <v>43983</v>
      </c>
      <c r="B1006" s="3" t="s">
        <v>12</v>
      </c>
      <c r="E1006" s="3">
        <v>10</v>
      </c>
      <c r="F1006" s="3">
        <v>719</v>
      </c>
      <c r="G1006" s="3">
        <v>627</v>
      </c>
      <c r="I1006" s="3">
        <f t="shared" si="15"/>
        <v>23</v>
      </c>
    </row>
    <row r="1007" spans="1:9" x14ac:dyDescent="0.25">
      <c r="A1007" s="2">
        <v>43983</v>
      </c>
      <c r="B1007" s="3" t="s">
        <v>25</v>
      </c>
      <c r="E1007" s="3">
        <v>9</v>
      </c>
      <c r="F1007" s="3">
        <v>294</v>
      </c>
      <c r="G1007" s="3">
        <v>224</v>
      </c>
      <c r="I1007" s="3">
        <f t="shared" si="15"/>
        <v>23</v>
      </c>
    </row>
    <row r="1008" spans="1:9" x14ac:dyDescent="0.25">
      <c r="A1008" s="2">
        <v>43983</v>
      </c>
      <c r="B1008" s="3" t="s">
        <v>24</v>
      </c>
      <c r="E1008" s="3">
        <v>7</v>
      </c>
      <c r="F1008" s="3">
        <v>500</v>
      </c>
      <c r="G1008" s="3">
        <v>418</v>
      </c>
      <c r="I1008" s="3">
        <f t="shared" si="15"/>
        <v>23</v>
      </c>
    </row>
    <row r="1009" spans="1:9" x14ac:dyDescent="0.25">
      <c r="A1009" s="2">
        <v>43983</v>
      </c>
      <c r="B1009" s="3" t="s">
        <v>26</v>
      </c>
      <c r="E1009" s="3">
        <v>6</v>
      </c>
      <c r="F1009" s="3">
        <v>237</v>
      </c>
      <c r="G1009" s="3">
        <v>175</v>
      </c>
      <c r="I1009" s="3">
        <f t="shared" si="15"/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B5F9-77BC-4219-993E-F87CD1DB4454}">
  <dimension ref="A3:T11"/>
  <sheetViews>
    <sheetView workbookViewId="0">
      <selection activeCell="A3" sqref="A3"/>
    </sheetView>
  </sheetViews>
  <sheetFormatPr defaultRowHeight="15" x14ac:dyDescent="0.25"/>
  <cols>
    <col min="1" max="1" width="34" bestFit="1" customWidth="1"/>
    <col min="2" max="2" width="20.85546875" bestFit="1" customWidth="1"/>
    <col min="3" max="3" width="13.5703125" bestFit="1" customWidth="1"/>
    <col min="4" max="4" width="11" bestFit="1" customWidth="1"/>
    <col min="5" max="5" width="12" bestFit="1" customWidth="1"/>
    <col min="6" max="6" width="11" bestFit="1" customWidth="1"/>
    <col min="7" max="7" width="14.5703125" bestFit="1" customWidth="1"/>
    <col min="8" max="8" width="13.85546875" bestFit="1" customWidth="1"/>
    <col min="9" max="9" width="18" bestFit="1" customWidth="1"/>
    <col min="10" max="10" width="12.85546875" bestFit="1" customWidth="1"/>
    <col min="11" max="11" width="10" bestFit="1" customWidth="1"/>
    <col min="12" max="12" width="15.5703125" bestFit="1" customWidth="1"/>
    <col min="13" max="13" width="10" bestFit="1" customWidth="1"/>
    <col min="14" max="14" width="22.85546875" bestFit="1" customWidth="1"/>
    <col min="15" max="15" width="19.85546875" bestFit="1" customWidth="1"/>
    <col min="16" max="16" width="10" bestFit="1" customWidth="1"/>
    <col min="17" max="17" width="7" bestFit="1" customWidth="1"/>
    <col min="18" max="18" width="10" bestFit="1" customWidth="1"/>
    <col min="19" max="19" width="9" bestFit="1" customWidth="1"/>
    <col min="20" max="20" width="12" bestFit="1" customWidth="1"/>
    <col min="21" max="21" width="34.5703125" bestFit="1" customWidth="1"/>
    <col min="22" max="22" width="36.28515625" bestFit="1" customWidth="1"/>
    <col min="23" max="23" width="34" bestFit="1" customWidth="1"/>
    <col min="24" max="24" width="34.5703125" bestFit="1" customWidth="1"/>
    <col min="25" max="25" width="36.28515625" bestFit="1" customWidth="1"/>
    <col min="26" max="26" width="34" bestFit="1" customWidth="1"/>
    <col min="27" max="27" width="34.5703125" bestFit="1" customWidth="1"/>
    <col min="28" max="28" width="36.28515625" bestFit="1" customWidth="1"/>
    <col min="29" max="29" width="34" bestFit="1" customWidth="1"/>
    <col min="30" max="30" width="34.5703125" bestFit="1" customWidth="1"/>
    <col min="31" max="31" width="36.28515625" bestFit="1" customWidth="1"/>
    <col min="32" max="32" width="34" bestFit="1" customWidth="1"/>
    <col min="33" max="33" width="34.5703125" bestFit="1" customWidth="1"/>
    <col min="34" max="34" width="36.28515625" bestFit="1" customWidth="1"/>
    <col min="35" max="35" width="34" bestFit="1" customWidth="1"/>
    <col min="36" max="36" width="34.5703125" bestFit="1" customWidth="1"/>
    <col min="37" max="37" width="36.28515625" bestFit="1" customWidth="1"/>
    <col min="38" max="38" width="34" bestFit="1" customWidth="1"/>
    <col min="39" max="39" width="34.5703125" bestFit="1" customWidth="1"/>
    <col min="40" max="40" width="36.28515625" bestFit="1" customWidth="1"/>
    <col min="41" max="41" width="34" bestFit="1" customWidth="1"/>
    <col min="42" max="42" width="34.5703125" bestFit="1" customWidth="1"/>
    <col min="43" max="43" width="36.28515625" bestFit="1" customWidth="1"/>
    <col min="44" max="44" width="34" bestFit="1" customWidth="1"/>
    <col min="45" max="45" width="34.5703125" bestFit="1" customWidth="1"/>
    <col min="46" max="46" width="36.28515625" bestFit="1" customWidth="1"/>
    <col min="47" max="47" width="34" bestFit="1" customWidth="1"/>
    <col min="48" max="48" width="34.5703125" bestFit="1" customWidth="1"/>
    <col min="49" max="49" width="36.28515625" bestFit="1" customWidth="1"/>
    <col min="50" max="50" width="34" bestFit="1" customWidth="1"/>
    <col min="51" max="51" width="34.5703125" bestFit="1" customWidth="1"/>
    <col min="52" max="52" width="36.28515625" bestFit="1" customWidth="1"/>
    <col min="53" max="53" width="34" bestFit="1" customWidth="1"/>
    <col min="54" max="54" width="34.5703125" bestFit="1" customWidth="1"/>
    <col min="55" max="55" width="36.28515625" bestFit="1" customWidth="1"/>
    <col min="56" max="56" width="38.7109375" bestFit="1" customWidth="1"/>
    <col min="57" max="57" width="39.28515625" bestFit="1" customWidth="1"/>
    <col min="58" max="58" width="41" bestFit="1" customWidth="1"/>
  </cols>
  <sheetData>
    <row r="3" spans="1:20" x14ac:dyDescent="0.25">
      <c r="A3" s="5" t="s">
        <v>30</v>
      </c>
      <c r="B3" s="5" t="s">
        <v>29</v>
      </c>
    </row>
    <row r="4" spans="1:20" x14ac:dyDescent="0.25">
      <c r="A4" s="5" t="s">
        <v>27</v>
      </c>
      <c r="B4" t="s">
        <v>16</v>
      </c>
      <c r="C4" t="s">
        <v>11</v>
      </c>
      <c r="D4" t="s">
        <v>17</v>
      </c>
      <c r="E4" t="s">
        <v>10</v>
      </c>
      <c r="F4" t="s">
        <v>20</v>
      </c>
      <c r="G4" t="s">
        <v>22</v>
      </c>
      <c r="H4" t="s">
        <v>21</v>
      </c>
      <c r="I4" t="s">
        <v>13</v>
      </c>
      <c r="J4" t="s">
        <v>23</v>
      </c>
      <c r="K4" t="s">
        <v>18</v>
      </c>
      <c r="L4" t="s">
        <v>19</v>
      </c>
      <c r="M4" t="s">
        <v>9</v>
      </c>
      <c r="N4" t="s">
        <v>15</v>
      </c>
      <c r="O4" t="s">
        <v>14</v>
      </c>
      <c r="P4" t="s">
        <v>12</v>
      </c>
      <c r="Q4" t="s">
        <v>25</v>
      </c>
      <c r="R4" t="s">
        <v>24</v>
      </c>
      <c r="S4" t="s">
        <v>26</v>
      </c>
      <c r="T4" t="s">
        <v>28</v>
      </c>
    </row>
    <row r="5" spans="1:20" x14ac:dyDescent="0.25">
      <c r="A5" s="6">
        <v>18</v>
      </c>
      <c r="B5" s="4">
        <v>36934095</v>
      </c>
      <c r="C5" s="4">
        <v>42828757.5</v>
      </c>
      <c r="D5" s="4">
        <v>17828215.5</v>
      </c>
      <c r="E5" s="4">
        <v>16029679.5</v>
      </c>
      <c r="F5" s="4">
        <v>13955985</v>
      </c>
      <c r="G5" s="4">
        <v>130713645</v>
      </c>
      <c r="H5" s="4">
        <v>136791225</v>
      </c>
      <c r="I5" s="4">
        <v>13145965.5</v>
      </c>
      <c r="J5" s="4">
        <v>5746024.5</v>
      </c>
      <c r="K5" s="4">
        <v>6961020</v>
      </c>
      <c r="L5" s="4">
        <v>2008809</v>
      </c>
      <c r="M5" s="4"/>
      <c r="N5" s="4">
        <v>233059077</v>
      </c>
      <c r="O5" s="4">
        <v>176269533</v>
      </c>
      <c r="P5" s="4">
        <v>4531000.5</v>
      </c>
      <c r="Q5" s="4"/>
      <c r="R5" s="4"/>
      <c r="S5" s="4"/>
      <c r="T5" s="4">
        <v>836803032</v>
      </c>
    </row>
    <row r="6" spans="1:20" x14ac:dyDescent="0.25">
      <c r="A6" s="6">
        <v>19</v>
      </c>
      <c r="B6" s="4">
        <v>43307155.5</v>
      </c>
      <c r="C6" s="4">
        <v>46366009.5</v>
      </c>
      <c r="D6" s="4">
        <v>20974521</v>
      </c>
      <c r="E6" s="4">
        <v>19479055.5</v>
      </c>
      <c r="F6" s="4">
        <v>16391856</v>
      </c>
      <c r="G6" s="4">
        <v>151642039.5</v>
      </c>
      <c r="H6" s="4">
        <v>159695760</v>
      </c>
      <c r="I6" s="4">
        <v>17149980</v>
      </c>
      <c r="J6" s="4">
        <v>7253572.5</v>
      </c>
      <c r="K6" s="4">
        <v>8778597</v>
      </c>
      <c r="L6" s="4">
        <v>5892277.5</v>
      </c>
      <c r="M6" s="4"/>
      <c r="N6" s="4">
        <v>272762503.5</v>
      </c>
      <c r="O6" s="4">
        <v>208128393.85664999</v>
      </c>
      <c r="P6" s="4">
        <v>6093688.5</v>
      </c>
      <c r="Q6" s="4"/>
      <c r="R6" s="4"/>
      <c r="S6" s="4"/>
      <c r="T6" s="4">
        <v>983915409.85664999</v>
      </c>
    </row>
    <row r="7" spans="1:20" x14ac:dyDescent="0.25">
      <c r="A7" s="6">
        <v>20</v>
      </c>
      <c r="B7" s="4">
        <v>41300679</v>
      </c>
      <c r="C7" s="4">
        <v>47079841.5</v>
      </c>
      <c r="D7" s="4">
        <v>23603355</v>
      </c>
      <c r="E7" s="4">
        <v>19724733</v>
      </c>
      <c r="F7" s="4">
        <v>16732521</v>
      </c>
      <c r="G7" s="4">
        <v>135813990</v>
      </c>
      <c r="H7" s="4">
        <v>142825023</v>
      </c>
      <c r="I7" s="4">
        <v>19963153.5</v>
      </c>
      <c r="J7" s="4">
        <v>7841920.5</v>
      </c>
      <c r="K7" s="4">
        <v>9036316.5</v>
      </c>
      <c r="L7" s="4">
        <v>7382458.5</v>
      </c>
      <c r="M7" s="4"/>
      <c r="N7" s="4">
        <v>269949999</v>
      </c>
      <c r="O7" s="4">
        <v>199569624.22395</v>
      </c>
      <c r="P7" s="4">
        <v>6439392</v>
      </c>
      <c r="Q7" s="4"/>
      <c r="R7" s="4"/>
      <c r="S7" s="4"/>
      <c r="T7" s="4">
        <v>947263006.72395003</v>
      </c>
    </row>
    <row r="8" spans="1:20" x14ac:dyDescent="0.25">
      <c r="A8" s="6">
        <v>21</v>
      </c>
      <c r="B8" s="4">
        <v>44172813</v>
      </c>
      <c r="C8" s="4">
        <v>49575288</v>
      </c>
      <c r="D8" s="4">
        <v>26815804.5</v>
      </c>
      <c r="E8" s="4">
        <v>20915751</v>
      </c>
      <c r="F8" s="4">
        <v>17647479</v>
      </c>
      <c r="G8" s="4">
        <v>149589546</v>
      </c>
      <c r="H8" s="4">
        <v>157512358.5</v>
      </c>
      <c r="I8" s="4">
        <v>20713983</v>
      </c>
      <c r="J8" s="4">
        <v>8990269.5</v>
      </c>
      <c r="K8" s="4">
        <v>10598445</v>
      </c>
      <c r="L8" s="4">
        <v>8638525.5</v>
      </c>
      <c r="M8" s="4"/>
      <c r="N8" s="4">
        <v>275539431.56999999</v>
      </c>
      <c r="O8" s="4">
        <v>204608809.47659999</v>
      </c>
      <c r="P8" s="4">
        <v>7373379</v>
      </c>
      <c r="Q8" s="4"/>
      <c r="R8" s="4"/>
      <c r="S8" s="4"/>
      <c r="T8" s="4">
        <v>1002691883.0465999</v>
      </c>
    </row>
    <row r="9" spans="1:20" x14ac:dyDescent="0.25">
      <c r="A9" s="6">
        <v>22</v>
      </c>
      <c r="B9" s="4">
        <v>46485094.5</v>
      </c>
      <c r="C9" s="4">
        <v>50729185.5</v>
      </c>
      <c r="D9" s="4">
        <v>27495690</v>
      </c>
      <c r="E9" s="4">
        <v>22579281</v>
      </c>
      <c r="F9" s="4">
        <v>18595773</v>
      </c>
      <c r="G9" s="4">
        <v>151451013</v>
      </c>
      <c r="H9" s="4">
        <v>157857214.5</v>
      </c>
      <c r="I9" s="4">
        <v>21605704.5</v>
      </c>
      <c r="J9" s="4">
        <v>9909624</v>
      </c>
      <c r="K9" s="4">
        <v>11902053</v>
      </c>
      <c r="L9" s="4">
        <v>9328845</v>
      </c>
      <c r="M9" s="4">
        <v>2706253.5</v>
      </c>
      <c r="N9" s="4">
        <v>292155049.5</v>
      </c>
      <c r="O9" s="4">
        <v>219265928.75384998</v>
      </c>
      <c r="P9" s="4">
        <v>7762362</v>
      </c>
      <c r="Q9" s="4">
        <v>493893</v>
      </c>
      <c r="R9" s="4">
        <v>4861708.5</v>
      </c>
      <c r="S9" s="4">
        <v>468835.5</v>
      </c>
      <c r="T9" s="4">
        <v>1055653508.75385</v>
      </c>
    </row>
    <row r="10" spans="1:20" x14ac:dyDescent="0.25">
      <c r="A10" s="6">
        <v>23</v>
      </c>
      <c r="B10" s="4">
        <v>5800290</v>
      </c>
      <c r="C10" s="4">
        <v>6829921.5</v>
      </c>
      <c r="D10" s="4">
        <v>3865251</v>
      </c>
      <c r="E10" s="4">
        <v>2945035.5</v>
      </c>
      <c r="F10" s="4">
        <v>2538967.5</v>
      </c>
      <c r="G10" s="4">
        <v>18914194.5</v>
      </c>
      <c r="H10" s="4">
        <v>19465372.5</v>
      </c>
      <c r="I10" s="4">
        <v>3013512</v>
      </c>
      <c r="J10" s="4">
        <v>1293219</v>
      </c>
      <c r="K10" s="4">
        <v>1526608.5</v>
      </c>
      <c r="L10" s="4">
        <v>1565632.5</v>
      </c>
      <c r="M10" s="4">
        <v>636345</v>
      </c>
      <c r="N10" s="4">
        <v>37257840.18135</v>
      </c>
      <c r="O10" s="4">
        <v>27770092.5</v>
      </c>
      <c r="P10" s="4">
        <v>1007742</v>
      </c>
      <c r="Q10" s="4">
        <v>389013</v>
      </c>
      <c r="R10" s="4">
        <v>802447.5</v>
      </c>
      <c r="S10" s="4">
        <v>410892</v>
      </c>
      <c r="T10" s="4">
        <v>136032376.68134999</v>
      </c>
    </row>
    <row r="11" spans="1:20" x14ac:dyDescent="0.25">
      <c r="A11" s="6" t="s">
        <v>28</v>
      </c>
      <c r="B11" s="4">
        <v>218000127</v>
      </c>
      <c r="C11" s="4">
        <v>243409003.5</v>
      </c>
      <c r="D11" s="4">
        <v>120582837</v>
      </c>
      <c r="E11" s="4">
        <v>101673535.5</v>
      </c>
      <c r="F11" s="4">
        <v>85862581.5</v>
      </c>
      <c r="G11" s="4">
        <v>738124428</v>
      </c>
      <c r="H11" s="4">
        <v>774146953.5</v>
      </c>
      <c r="I11" s="4">
        <v>95592298.5</v>
      </c>
      <c r="J11" s="4">
        <v>41034630</v>
      </c>
      <c r="K11" s="4">
        <v>48803040</v>
      </c>
      <c r="L11" s="4">
        <v>34816548</v>
      </c>
      <c r="M11" s="4">
        <v>3342598.5</v>
      </c>
      <c r="N11" s="4">
        <v>1380723900.7513499</v>
      </c>
      <c r="O11" s="4">
        <v>1035612381.8110499</v>
      </c>
      <c r="P11" s="4">
        <v>33207564</v>
      </c>
      <c r="Q11" s="4">
        <v>882906</v>
      </c>
      <c r="R11" s="4">
        <v>5664156</v>
      </c>
      <c r="S11" s="4">
        <v>879727.5</v>
      </c>
      <c r="T11" s="4">
        <v>4962359217.0623999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DA52-5C32-42DE-BA94-6EB0853A1112}">
  <dimension ref="A3:D22"/>
  <sheetViews>
    <sheetView workbookViewId="0">
      <selection activeCell="D3" sqref="D3"/>
    </sheetView>
  </sheetViews>
  <sheetFormatPr defaultRowHeight="15" x14ac:dyDescent="0.25"/>
  <cols>
    <col min="1" max="1" width="22.85546875" bestFit="1" customWidth="1"/>
    <col min="2" max="2" width="34" bestFit="1" customWidth="1"/>
    <col min="3" max="3" width="42.5703125" bestFit="1" customWidth="1"/>
    <col min="4" max="4" width="12" style="7" bestFit="1" customWidth="1"/>
  </cols>
  <sheetData>
    <row r="3" spans="1:4" x14ac:dyDescent="0.25">
      <c r="A3" s="5" t="s">
        <v>27</v>
      </c>
      <c r="B3" t="s">
        <v>30</v>
      </c>
      <c r="C3" t="s">
        <v>32</v>
      </c>
      <c r="D3" s="7" t="s">
        <v>31</v>
      </c>
    </row>
    <row r="4" spans="1:4" x14ac:dyDescent="0.25">
      <c r="A4" s="6" t="s">
        <v>15</v>
      </c>
      <c r="B4" s="8">
        <v>1380723900.7513499</v>
      </c>
      <c r="C4" s="8"/>
      <c r="D4" s="7">
        <f>B4/SUM($B$4:$B$21)</f>
        <v>0.27823940999755076</v>
      </c>
    </row>
    <row r="5" spans="1:4" x14ac:dyDescent="0.25">
      <c r="A5" s="6" t="s">
        <v>14</v>
      </c>
      <c r="B5" s="8">
        <v>1035612381.8110501</v>
      </c>
      <c r="C5" s="8"/>
      <c r="D5" s="7">
        <f t="shared" ref="D5:D21" si="0">B5/SUM($B$4:$B$21)</f>
        <v>0.20869355411640439</v>
      </c>
    </row>
    <row r="6" spans="1:4" x14ac:dyDescent="0.25">
      <c r="A6" s="6" t="s">
        <v>21</v>
      </c>
      <c r="B6" s="8">
        <v>774146953.5</v>
      </c>
      <c r="C6" s="8"/>
      <c r="D6" s="7">
        <f t="shared" si="0"/>
        <v>0.15600381182365852</v>
      </c>
    </row>
    <row r="7" spans="1:4" x14ac:dyDescent="0.25">
      <c r="A7" s="6" t="s">
        <v>22</v>
      </c>
      <c r="B7" s="8">
        <v>738124428</v>
      </c>
      <c r="C7" s="8"/>
      <c r="D7" s="7">
        <f t="shared" si="0"/>
        <v>0.1487446586821162</v>
      </c>
    </row>
    <row r="8" spans="1:4" x14ac:dyDescent="0.25">
      <c r="A8" s="6" t="s">
        <v>11</v>
      </c>
      <c r="B8" s="8">
        <v>243409003.5</v>
      </c>
      <c r="C8" s="8"/>
      <c r="D8" s="7">
        <f t="shared" si="0"/>
        <v>4.9051064796573195E-2</v>
      </c>
    </row>
    <row r="9" spans="1:4" x14ac:dyDescent="0.25">
      <c r="A9" s="6" t="s">
        <v>16</v>
      </c>
      <c r="B9" s="8">
        <v>218000127</v>
      </c>
      <c r="C9" s="8"/>
      <c r="D9" s="7">
        <f t="shared" si="0"/>
        <v>4.3930742911644949E-2</v>
      </c>
    </row>
    <row r="10" spans="1:4" x14ac:dyDescent="0.25">
      <c r="A10" s="6" t="s">
        <v>17</v>
      </c>
      <c r="B10" s="8">
        <v>120582837</v>
      </c>
      <c r="C10" s="8"/>
      <c r="D10" s="7">
        <f t="shared" si="0"/>
        <v>2.4299497824621857E-2</v>
      </c>
    </row>
    <row r="11" spans="1:4" x14ac:dyDescent="0.25">
      <c r="A11" s="6" t="s">
        <v>10</v>
      </c>
      <c r="B11" s="8">
        <v>101673535.5</v>
      </c>
      <c r="C11" s="8"/>
      <c r="D11" s="7">
        <f t="shared" si="0"/>
        <v>2.0488951132439048E-2</v>
      </c>
    </row>
    <row r="12" spans="1:4" x14ac:dyDescent="0.25">
      <c r="A12" s="6" t="s">
        <v>13</v>
      </c>
      <c r="B12" s="8">
        <v>95592298.5</v>
      </c>
      <c r="C12" s="8"/>
      <c r="D12" s="7">
        <f t="shared" si="0"/>
        <v>1.9263478180160522E-2</v>
      </c>
    </row>
    <row r="13" spans="1:4" x14ac:dyDescent="0.25">
      <c r="A13" s="6" t="s">
        <v>20</v>
      </c>
      <c r="B13" s="8">
        <v>85862581.5</v>
      </c>
      <c r="C13" s="8"/>
      <c r="D13" s="7">
        <f t="shared" si="0"/>
        <v>1.7302774294285901E-2</v>
      </c>
    </row>
    <row r="14" spans="1:4" x14ac:dyDescent="0.25">
      <c r="A14" s="6" t="s">
        <v>18</v>
      </c>
      <c r="B14" s="8">
        <v>48803040</v>
      </c>
      <c r="C14" s="8"/>
      <c r="D14" s="7">
        <f t="shared" si="0"/>
        <v>9.8346447456277158E-3</v>
      </c>
    </row>
    <row r="15" spans="1:4" x14ac:dyDescent="0.25">
      <c r="A15" s="6" t="s">
        <v>23</v>
      </c>
      <c r="B15" s="8">
        <v>41034630</v>
      </c>
      <c r="C15" s="8"/>
      <c r="D15" s="7">
        <f t="shared" si="0"/>
        <v>8.2691776643069263E-3</v>
      </c>
    </row>
    <row r="16" spans="1:4" x14ac:dyDescent="0.25">
      <c r="A16" s="6" t="s">
        <v>19</v>
      </c>
      <c r="B16" s="8">
        <v>34816548</v>
      </c>
      <c r="C16" s="8"/>
      <c r="D16" s="7">
        <f t="shared" si="0"/>
        <v>7.016128111058147E-3</v>
      </c>
    </row>
    <row r="17" spans="1:4" x14ac:dyDescent="0.25">
      <c r="A17" s="6" t="s">
        <v>12</v>
      </c>
      <c r="B17" s="8">
        <v>33207564</v>
      </c>
      <c r="C17" s="8"/>
      <c r="D17" s="7">
        <f t="shared" si="0"/>
        <v>6.6918903987886027E-3</v>
      </c>
    </row>
    <row r="18" spans="1:4" x14ac:dyDescent="0.25">
      <c r="A18" s="6" t="s">
        <v>24</v>
      </c>
      <c r="B18" s="8">
        <v>5664156</v>
      </c>
      <c r="C18" s="8"/>
      <c r="D18" s="7">
        <f t="shared" si="0"/>
        <v>1.1414240187458753E-3</v>
      </c>
    </row>
    <row r="19" spans="1:4" x14ac:dyDescent="0.25">
      <c r="A19" s="6" t="s">
        <v>9</v>
      </c>
      <c r="B19" s="8">
        <v>3342598.5</v>
      </c>
      <c r="C19" s="8"/>
      <c r="D19" s="7">
        <f t="shared" si="0"/>
        <v>6.735905954786441E-4</v>
      </c>
    </row>
    <row r="20" spans="1:4" x14ac:dyDescent="0.25">
      <c r="A20" s="6" t="s">
        <v>25</v>
      </c>
      <c r="B20" s="8">
        <v>882906</v>
      </c>
      <c r="C20" s="8"/>
      <c r="D20" s="7">
        <f t="shared" si="0"/>
        <v>1.779206142441779E-4</v>
      </c>
    </row>
    <row r="21" spans="1:4" x14ac:dyDescent="0.25">
      <c r="A21" s="6" t="s">
        <v>26</v>
      </c>
      <c r="B21" s="8">
        <v>879727.5</v>
      </c>
      <c r="C21" s="8"/>
      <c r="D21" s="7">
        <f t="shared" si="0"/>
        <v>1.7728009229464408E-4</v>
      </c>
    </row>
    <row r="22" spans="1:4" x14ac:dyDescent="0.25">
      <c r="A22" s="6" t="s">
        <v>28</v>
      </c>
      <c r="B22" s="4">
        <v>4962359217.0624008</v>
      </c>
      <c r="C2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7552-3727-4896-B871-E6C13DEC0C88}">
  <dimension ref="A3:C10"/>
  <sheetViews>
    <sheetView tabSelected="1" workbookViewId="0">
      <selection activeCell="C34" sqref="C34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38.140625" bestFit="1" customWidth="1"/>
  </cols>
  <sheetData>
    <row r="3" spans="1:3" x14ac:dyDescent="0.25">
      <c r="A3" s="5" t="s">
        <v>27</v>
      </c>
      <c r="B3" t="s">
        <v>30</v>
      </c>
      <c r="C3" t="s">
        <v>33</v>
      </c>
    </row>
    <row r="4" spans="1:3" x14ac:dyDescent="0.25">
      <c r="A4" s="6">
        <v>18</v>
      </c>
      <c r="B4" s="4">
        <v>836803032</v>
      </c>
      <c r="C4" s="4"/>
    </row>
    <row r="5" spans="1:3" x14ac:dyDescent="0.25">
      <c r="A5" s="6">
        <v>19</v>
      </c>
      <c r="B5" s="4">
        <v>983915409.85664999</v>
      </c>
      <c r="C5" s="4"/>
    </row>
    <row r="6" spans="1:3" x14ac:dyDescent="0.25">
      <c r="A6" s="6">
        <v>20</v>
      </c>
      <c r="B6" s="4">
        <v>947263006.72395003</v>
      </c>
      <c r="C6" s="4"/>
    </row>
    <row r="7" spans="1:3" x14ac:dyDescent="0.25">
      <c r="A7" s="6">
        <v>21</v>
      </c>
      <c r="B7" s="4">
        <v>1002691883.0466</v>
      </c>
      <c r="C7" s="4"/>
    </row>
    <row r="8" spans="1:3" x14ac:dyDescent="0.25">
      <c r="A8" s="6">
        <v>22</v>
      </c>
      <c r="B8" s="4">
        <v>1055653508.75385</v>
      </c>
      <c r="C8" s="4"/>
    </row>
    <row r="9" spans="1:3" x14ac:dyDescent="0.25">
      <c r="A9" s="6">
        <v>23</v>
      </c>
      <c r="B9" s="4">
        <v>136032376.68134999</v>
      </c>
      <c r="C9" s="4"/>
    </row>
    <row r="10" spans="1:3" x14ac:dyDescent="0.25">
      <c r="A10" s="6" t="s">
        <v>28</v>
      </c>
      <c r="B10" s="4">
        <v>4962359217.0623999</v>
      </c>
      <c r="C10" s="4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4B07B1-624C-4B17-B805-82E1E0497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Объединенные данные</vt:lpstr>
      <vt:lpstr>Сводная таблица</vt:lpstr>
      <vt:lpstr>ТОП </vt:lpstr>
      <vt:lpstr>Понедельная динамика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Асыл</cp:lastModifiedBy>
  <dcterms:created xsi:type="dcterms:W3CDTF">2021-09-13T10:17:58Z</dcterms:created>
  <dcterms:modified xsi:type="dcterms:W3CDTF">2026-03-11T17:21:41Z</dcterms:modified>
</cp:coreProperties>
</file>